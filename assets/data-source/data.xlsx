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us\Downloads\"/>
    </mc:Choice>
  </mc:AlternateContent>
  <xr:revisionPtr revIDLastSave="0" documentId="13_ncr:1_{87F33568-1DD1-4D33-BD21-3C9170FDD5E0}" xr6:coauthVersionLast="47" xr6:coauthVersionMax="47" xr10:uidLastSave="{00000000-0000-0000-0000-000000000000}"/>
  <bookViews>
    <workbookView xWindow="-108" yWindow="-108" windowWidth="23256" windowHeight="12576" tabRatio="736" activeTab="1" xr2:uid="{2E6F1639-AB3B-4860-9C01-087F2448B9B1}"/>
  </bookViews>
  <sheets>
    <sheet name="پایه سنوات طرح طبقه" sheetId="33" r:id="rId1"/>
    <sheet name="پایه سنوات عادی و داده ها" sheetId="34" r:id="rId2"/>
  </sheets>
  <calcPr calcId="181029"/>
</workbook>
</file>

<file path=xl/calcChain.xml><?xml version="1.0" encoding="utf-8"?>
<calcChain xmlns="http://schemas.openxmlformats.org/spreadsheetml/2006/main">
  <c r="D5" i="33" l="1"/>
  <c r="E14" i="33"/>
  <c r="G14" i="33" s="1"/>
  <c r="H14" i="33" s="1"/>
  <c r="J14" i="33" s="1"/>
  <c r="K14" i="33" s="1"/>
  <c r="M14" i="33" s="1"/>
  <c r="N14" i="33" s="1"/>
  <c r="P14" i="33" s="1"/>
  <c r="Q14" i="33"/>
  <c r="S14" i="33" s="1"/>
  <c r="T14" i="33" s="1"/>
  <c r="V14" i="33" s="1"/>
  <c r="W14" i="33" s="1"/>
  <c r="Y14" i="33" s="1"/>
  <c r="Z14" i="33" s="1"/>
  <c r="AB14" i="33" s="1"/>
  <c r="AC14" i="33" s="1"/>
  <c r="AE14" i="33" s="1"/>
  <c r="AF14" i="33" s="1"/>
  <c r="AH14" i="33" s="1"/>
  <c r="AI14" i="33" s="1"/>
  <c r="AK14" i="33" s="1"/>
  <c r="AL14" i="33" s="1"/>
  <c r="AN14" i="33" s="1"/>
  <c r="AO14" i="33" s="1"/>
  <c r="AQ14" i="33" s="1"/>
  <c r="AR14" i="33" s="1"/>
  <c r="AT14" i="33" s="1"/>
  <c r="AU14" i="33" s="1"/>
  <c r="AW14" i="33" s="1"/>
  <c r="AX14" i="33" s="1"/>
  <c r="AZ14" i="33" s="1"/>
  <c r="BA14" i="33" s="1"/>
  <c r="BC14" i="33" s="1"/>
  <c r="BD14" i="33" s="1"/>
  <c r="BF14" i="33" s="1"/>
  <c r="BG14" i="33" s="1"/>
  <c r="BI14" i="33" s="1"/>
  <c r="BJ14" i="33" s="1"/>
  <c r="BL14" i="33" s="1"/>
  <c r="BM14" i="33" s="1"/>
  <c r="BO14" i="33" s="1"/>
  <c r="BP14" i="33" s="1"/>
  <c r="BR14" i="33" s="1"/>
  <c r="BS14" i="33" s="1"/>
  <c r="BU14" i="33" s="1"/>
  <c r="BV14" i="33" s="1"/>
  <c r="BX14" i="33" s="1"/>
  <c r="BY14" i="33" s="1"/>
  <c r="CA14" i="33" s="1"/>
  <c r="CB14" i="33" s="1"/>
  <c r="CD14" i="33" s="1"/>
  <c r="CE14" i="33" s="1"/>
  <c r="H19" i="33"/>
  <c r="J19" i="33"/>
  <c r="K19" i="33" s="1"/>
  <c r="M19" i="33" s="1"/>
  <c r="N19" i="33" s="1"/>
  <c r="P19" i="33" s="1"/>
  <c r="Q19" i="33" s="1"/>
  <c r="S19" i="33" s="1"/>
  <c r="T19" i="33" s="1"/>
  <c r="V19" i="33" s="1"/>
  <c r="W19" i="33" s="1"/>
  <c r="Y19" i="33" s="1"/>
  <c r="Z19" i="33" s="1"/>
  <c r="AB19" i="33" s="1"/>
  <c r="AC19" i="33" s="1"/>
  <c r="AE19" i="33" s="1"/>
  <c r="AF19" i="33" s="1"/>
  <c r="AH19" i="33" s="1"/>
  <c r="AI19" i="33" s="1"/>
  <c r="AK19" i="33" s="1"/>
  <c r="AL19" i="33" s="1"/>
  <c r="AN19" i="33" s="1"/>
  <c r="AO19" i="33" s="1"/>
  <c r="AQ19" i="33" s="1"/>
  <c r="AR19" i="33" s="1"/>
  <c r="AT19" i="33" s="1"/>
  <c r="AU19" i="33" s="1"/>
  <c r="AW19" i="33" s="1"/>
  <c r="AX19" i="33" s="1"/>
  <c r="AZ19" i="33" s="1"/>
  <c r="BA19" i="33" s="1"/>
  <c r="BC19" i="33" s="1"/>
  <c r="BD19" i="33" s="1"/>
  <c r="BF19" i="33" s="1"/>
  <c r="BG19" i="33" s="1"/>
  <c r="BI19" i="33" s="1"/>
  <c r="BJ19" i="33" s="1"/>
  <c r="BL19" i="33" s="1"/>
  <c r="BM19" i="33" s="1"/>
  <c r="BO19" i="33" s="1"/>
  <c r="BP19" i="33" s="1"/>
  <c r="BR19" i="33" s="1"/>
  <c r="BS19" i="33" s="1"/>
  <c r="BU19" i="33" s="1"/>
  <c r="BV19" i="33" s="1"/>
  <c r="E5" i="33"/>
  <c r="G5" i="33"/>
  <c r="H5" i="33"/>
  <c r="J5" i="33" s="1"/>
  <c r="K5" i="33" s="1"/>
  <c r="M5" i="33"/>
  <c r="N5" i="33"/>
  <c r="P5" i="33" s="1"/>
  <c r="Q5" i="33" s="1"/>
  <c r="S5" i="33" s="1"/>
  <c r="T5" i="33" s="1"/>
  <c r="V5" i="33" s="1"/>
  <c r="W5" i="33" s="1"/>
  <c r="Y5" i="33" s="1"/>
  <c r="Z5" i="33" s="1"/>
  <c r="AB5" i="33" s="1"/>
  <c r="AC5" i="33" s="1"/>
  <c r="AE5" i="33" s="1"/>
  <c r="AF5" i="33" s="1"/>
  <c r="AH5" i="33" s="1"/>
  <c r="AI5" i="33" s="1"/>
  <c r="AK5" i="33" s="1"/>
  <c r="AL5" i="33" s="1"/>
  <c r="AN5" i="33" s="1"/>
  <c r="AO5" i="33" s="1"/>
  <c r="AQ5" i="33" s="1"/>
  <c r="AR5" i="33" s="1"/>
  <c r="AT5" i="33" s="1"/>
  <c r="AU5" i="33" s="1"/>
  <c r="AW5" i="33" s="1"/>
  <c r="AX5" i="33" s="1"/>
  <c r="AZ5" i="33" s="1"/>
  <c r="BA5" i="33" s="1"/>
  <c r="BC5" i="33" s="1"/>
  <c r="BD5" i="33" s="1"/>
  <c r="BF5" i="33" s="1"/>
  <c r="BG5" i="33" s="1"/>
  <c r="BI5" i="33" s="1"/>
  <c r="BJ5" i="33" s="1"/>
  <c r="BL5" i="33" s="1"/>
  <c r="BM5" i="33" s="1"/>
  <c r="BO5" i="33" s="1"/>
  <c r="BP5" i="33" s="1"/>
  <c r="BR5" i="33" s="1"/>
  <c r="BS5" i="33" s="1"/>
  <c r="BU5" i="33" s="1"/>
  <c r="BV5" i="33" s="1"/>
  <c r="BX5" i="33" s="1"/>
  <c r="BY5" i="33" s="1"/>
  <c r="CA5" i="33" s="1"/>
  <c r="CB5" i="33" s="1"/>
  <c r="CD5" i="33" s="1"/>
  <c r="CE5" i="33" s="1"/>
  <c r="CF5" i="33" s="1"/>
  <c r="D6" i="33"/>
  <c r="E6" i="33" s="1"/>
  <c r="G6" i="33" s="1"/>
  <c r="H6" i="33" s="1"/>
  <c r="J6" i="33" s="1"/>
  <c r="K6" i="33" s="1"/>
  <c r="M6" i="33" s="1"/>
  <c r="N6" i="33" s="1"/>
  <c r="P6" i="33"/>
  <c r="Q6" i="33" s="1"/>
  <c r="S6" i="33" s="1"/>
  <c r="T6" i="33" s="1"/>
  <c r="V6" i="33" s="1"/>
  <c r="W6" i="33" s="1"/>
  <c r="Y6" i="33" s="1"/>
  <c r="Z6" i="33" s="1"/>
  <c r="AB6" i="33"/>
  <c r="AC6" i="33" s="1"/>
  <c r="AE6" i="33" s="1"/>
  <c r="AF6" i="33" s="1"/>
  <c r="AH6" i="33" s="1"/>
  <c r="AI6" i="33" s="1"/>
  <c r="AK6" i="33" s="1"/>
  <c r="AL6" i="33" s="1"/>
  <c r="AN6" i="33" s="1"/>
  <c r="AO6" i="33" s="1"/>
  <c r="AQ6" i="33" s="1"/>
  <c r="AR6" i="33" s="1"/>
  <c r="AT6" i="33" s="1"/>
  <c r="AU6" i="33" s="1"/>
  <c r="AW6" i="33" s="1"/>
  <c r="AX6" i="33" s="1"/>
  <c r="AZ6" i="33" s="1"/>
  <c r="BA6" i="33" s="1"/>
  <c r="BC6" i="33" s="1"/>
  <c r="BD6" i="33" s="1"/>
  <c r="BF6" i="33" s="1"/>
  <c r="BG6" i="33" s="1"/>
  <c r="BI6" i="33" s="1"/>
  <c r="BJ6" i="33" s="1"/>
  <c r="BL6" i="33" s="1"/>
  <c r="BM6" i="33" s="1"/>
  <c r="BO6" i="33" s="1"/>
  <c r="BP6" i="33" s="1"/>
  <c r="BR6" i="33" s="1"/>
  <c r="BS6" i="33" s="1"/>
  <c r="BU6" i="33" s="1"/>
  <c r="BV6" i="33" s="1"/>
  <c r="BX6" i="33" s="1"/>
  <c r="BY6" i="33" s="1"/>
  <c r="CA6" i="33" s="1"/>
  <c r="CB6" i="33" s="1"/>
  <c r="CD6" i="33" s="1"/>
  <c r="CE6" i="33" s="1"/>
  <c r="D7" i="33"/>
  <c r="E7" i="33"/>
  <c r="G7" i="33" s="1"/>
  <c r="H7" i="33" s="1"/>
  <c r="J7" i="33" s="1"/>
  <c r="K7" i="33" s="1"/>
  <c r="M7" i="33" s="1"/>
  <c r="N7" i="33" s="1"/>
  <c r="P7" i="33" s="1"/>
  <c r="Q7" i="33"/>
  <c r="S7" i="33" s="1"/>
  <c r="T7" i="33" s="1"/>
  <c r="V7" i="33" s="1"/>
  <c r="W7" i="33" s="1"/>
  <c r="Y7" i="33" s="1"/>
  <c r="Z7" i="33" s="1"/>
  <c r="AB7" i="33" s="1"/>
  <c r="AC7" i="33"/>
  <c r="AE7" i="33" s="1"/>
  <c r="AF7" i="33" s="1"/>
  <c r="AH7" i="33" s="1"/>
  <c r="AI7" i="33" s="1"/>
  <c r="AK7" i="33" s="1"/>
  <c r="AL7" i="33" s="1"/>
  <c r="AN7" i="33" s="1"/>
  <c r="AO7" i="33" s="1"/>
  <c r="AQ7" i="33" s="1"/>
  <c r="AR7" i="33" s="1"/>
  <c r="AT7" i="33" s="1"/>
  <c r="AU7" i="33" s="1"/>
  <c r="AW7" i="33" s="1"/>
  <c r="AX7" i="33" s="1"/>
  <c r="AZ7" i="33" s="1"/>
  <c r="BA7" i="33" s="1"/>
  <c r="BC7" i="33" s="1"/>
  <c r="BD7" i="33" s="1"/>
  <c r="BF7" i="33" s="1"/>
  <c r="BG7" i="33" s="1"/>
  <c r="BI7" i="33" s="1"/>
  <c r="BJ7" i="33" s="1"/>
  <c r="BL7" i="33" s="1"/>
  <c r="BM7" i="33" s="1"/>
  <c r="BO7" i="33" s="1"/>
  <c r="BP7" i="33" s="1"/>
  <c r="BR7" i="33" s="1"/>
  <c r="BS7" i="33" s="1"/>
  <c r="BU7" i="33" s="1"/>
  <c r="BV7" i="33" s="1"/>
  <c r="BX7" i="33" s="1"/>
  <c r="BY7" i="33" s="1"/>
  <c r="CA7" i="33" s="1"/>
  <c r="CB7" i="33" s="1"/>
  <c r="CD7" i="33" s="1"/>
  <c r="CE7" i="33" s="1"/>
  <c r="D8" i="33"/>
  <c r="E8" i="33" s="1"/>
  <c r="G8" i="33" s="1"/>
  <c r="H8" i="33" s="1"/>
  <c r="J8" i="33" s="1"/>
  <c r="K8" i="33" s="1"/>
  <c r="M8" i="33" s="1"/>
  <c r="N8" i="33" s="1"/>
  <c r="P8" i="33" s="1"/>
  <c r="Q8" i="33" s="1"/>
  <c r="S8" i="33" s="1"/>
  <c r="T8" i="33" s="1"/>
  <c r="V8" i="33" s="1"/>
  <c r="W8" i="33" s="1"/>
  <c r="Y8" i="33" s="1"/>
  <c r="Z8" i="33" s="1"/>
  <c r="AB8" i="33" s="1"/>
  <c r="AC8" i="33" s="1"/>
  <c r="AE8" i="33" s="1"/>
  <c r="AF8" i="33" s="1"/>
  <c r="AH8" i="33" s="1"/>
  <c r="AI8" i="33" s="1"/>
  <c r="AK8" i="33" s="1"/>
  <c r="AL8" i="33" s="1"/>
  <c r="AN8" i="33" s="1"/>
  <c r="AO8" i="33" s="1"/>
  <c r="AQ8" i="33" s="1"/>
  <c r="AR8" i="33" s="1"/>
  <c r="AT8" i="33" s="1"/>
  <c r="AU8" i="33" s="1"/>
  <c r="AW8" i="33" s="1"/>
  <c r="AX8" i="33" s="1"/>
  <c r="AZ8" i="33" s="1"/>
  <c r="BA8" i="33" s="1"/>
  <c r="BC8" i="33" s="1"/>
  <c r="BD8" i="33" s="1"/>
  <c r="BF8" i="33" s="1"/>
  <c r="BG8" i="33" s="1"/>
  <c r="BI8" i="33" s="1"/>
  <c r="BJ8" i="33" s="1"/>
  <c r="BL8" i="33" s="1"/>
  <c r="BM8" i="33" s="1"/>
  <c r="BO8" i="33" s="1"/>
  <c r="BP8" i="33" s="1"/>
  <c r="BR8" i="33" s="1"/>
  <c r="BS8" i="33" s="1"/>
  <c r="BU8" i="33" s="1"/>
  <c r="BV8" i="33" s="1"/>
  <c r="BX8" i="33" s="1"/>
  <c r="BY8" i="33" s="1"/>
  <c r="CA8" i="33" s="1"/>
  <c r="CB8" i="33" s="1"/>
  <c r="CD8" i="33" s="1"/>
  <c r="CE8" i="33" s="1"/>
  <c r="D9" i="33"/>
  <c r="E9" i="33"/>
  <c r="G9" i="33" s="1"/>
  <c r="H9" i="33" s="1"/>
  <c r="J9" i="33" s="1"/>
  <c r="K9" i="33" s="1"/>
  <c r="M9" i="33" s="1"/>
  <c r="N9" i="33" s="1"/>
  <c r="P9" i="33" s="1"/>
  <c r="Q9" i="33" s="1"/>
  <c r="S9" i="33" s="1"/>
  <c r="T9" i="33" s="1"/>
  <c r="V9" i="33" s="1"/>
  <c r="W9" i="33" s="1"/>
  <c r="Y9" i="33" s="1"/>
  <c r="Z9" i="33" s="1"/>
  <c r="AB9" i="33" s="1"/>
  <c r="AC9" i="33" s="1"/>
  <c r="AE9" i="33" s="1"/>
  <c r="AF9" i="33" s="1"/>
  <c r="AH9" i="33" s="1"/>
  <c r="AI9" i="33" s="1"/>
  <c r="AK9" i="33" s="1"/>
  <c r="AL9" i="33" s="1"/>
  <c r="AN9" i="33" s="1"/>
  <c r="AO9" i="33" s="1"/>
  <c r="AQ9" i="33" s="1"/>
  <c r="AR9" i="33" s="1"/>
  <c r="AT9" i="33" s="1"/>
  <c r="AU9" i="33" s="1"/>
  <c r="AW9" i="33" s="1"/>
  <c r="AX9" i="33" s="1"/>
  <c r="AZ9" i="33" s="1"/>
  <c r="BA9" i="33" s="1"/>
  <c r="BC9" i="33" s="1"/>
  <c r="BD9" i="33" s="1"/>
  <c r="BF9" i="33" s="1"/>
  <c r="BG9" i="33" s="1"/>
  <c r="BI9" i="33" s="1"/>
  <c r="BJ9" i="33" s="1"/>
  <c r="BL9" i="33" s="1"/>
  <c r="BM9" i="33" s="1"/>
  <c r="BO9" i="33" s="1"/>
  <c r="BP9" i="33" s="1"/>
  <c r="BR9" i="33" s="1"/>
  <c r="BS9" i="33" s="1"/>
  <c r="BU9" i="33" s="1"/>
  <c r="BV9" i="33" s="1"/>
  <c r="D10" i="33"/>
  <c r="E10" i="33"/>
  <c r="G10" i="33" s="1"/>
  <c r="H10" i="33" s="1"/>
  <c r="J10" i="33"/>
  <c r="K10" i="33" s="1"/>
  <c r="M10" i="33" s="1"/>
  <c r="N10" i="33" s="1"/>
  <c r="P10" i="33" s="1"/>
  <c r="Q10" i="33" s="1"/>
  <c r="S10" i="33" s="1"/>
  <c r="T10" i="33" s="1"/>
  <c r="V10" i="33"/>
  <c r="W10" i="33" s="1"/>
  <c r="Y10" i="33" s="1"/>
  <c r="Z10" i="33" s="1"/>
  <c r="AB10" i="33" s="1"/>
  <c r="AC10" i="33" s="1"/>
  <c r="AE10" i="33" s="1"/>
  <c r="AF10" i="33" s="1"/>
  <c r="AH10" i="33"/>
  <c r="AI10" i="33" s="1"/>
  <c r="AK10" i="33" s="1"/>
  <c r="AL10" i="33" s="1"/>
  <c r="AN10" i="33" s="1"/>
  <c r="AO10" i="33" s="1"/>
  <c r="AQ10" i="33" s="1"/>
  <c r="AR10" i="33" s="1"/>
  <c r="AT10" i="33" s="1"/>
  <c r="AU10" i="33" s="1"/>
  <c r="AW10" i="33" s="1"/>
  <c r="AX10" i="33" s="1"/>
  <c r="AZ10" i="33" s="1"/>
  <c r="BA10" i="33" s="1"/>
  <c r="BC10" i="33" s="1"/>
  <c r="BD10" i="33" s="1"/>
  <c r="BF10" i="33" s="1"/>
  <c r="BG10" i="33" s="1"/>
  <c r="BI10" i="33" s="1"/>
  <c r="BJ10" i="33" s="1"/>
  <c r="BL10" i="33" s="1"/>
  <c r="BM10" i="33" s="1"/>
  <c r="BO10" i="33" s="1"/>
  <c r="BP10" i="33" s="1"/>
  <c r="BR10" i="33" s="1"/>
  <c r="BS10" i="33" s="1"/>
  <c r="BU10" i="33" s="1"/>
  <c r="BV10" i="33" s="1"/>
  <c r="BX10" i="33" s="1"/>
  <c r="BY10" i="33" s="1"/>
  <c r="CA10" i="33" s="1"/>
  <c r="CB10" i="33" s="1"/>
  <c r="CD10" i="33" s="1"/>
  <c r="CE10" i="33" s="1"/>
  <c r="D11" i="33"/>
  <c r="E11" i="33"/>
  <c r="G11" i="33" s="1"/>
  <c r="H11" i="33" s="1"/>
  <c r="J11" i="33" s="1"/>
  <c r="K11" i="33" s="1"/>
  <c r="M11" i="33" s="1"/>
  <c r="N11" i="33" s="1"/>
  <c r="P11" i="33" s="1"/>
  <c r="Q11" i="33" s="1"/>
  <c r="S11" i="33" s="1"/>
  <c r="T11" i="33" s="1"/>
  <c r="V11" i="33" s="1"/>
  <c r="W11" i="33" s="1"/>
  <c r="Y11" i="33" s="1"/>
  <c r="Z11" i="33" s="1"/>
  <c r="AB11" i="33" s="1"/>
  <c r="AC11" i="33" s="1"/>
  <c r="AE11" i="33" s="1"/>
  <c r="AF11" i="33" s="1"/>
  <c r="AH11" i="33" s="1"/>
  <c r="AI11" i="33" s="1"/>
  <c r="AK11" i="33" s="1"/>
  <c r="AL11" i="33" s="1"/>
  <c r="AN11" i="33" s="1"/>
  <c r="AO11" i="33" s="1"/>
  <c r="AQ11" i="33" s="1"/>
  <c r="AR11" i="33" s="1"/>
  <c r="AT11" i="33" s="1"/>
  <c r="AU11" i="33" s="1"/>
  <c r="AW11" i="33" s="1"/>
  <c r="AX11" i="33" s="1"/>
  <c r="AZ11" i="33" s="1"/>
  <c r="BA11" i="33" s="1"/>
  <c r="BC11" i="33" s="1"/>
  <c r="BD11" i="33" s="1"/>
  <c r="BF11" i="33" s="1"/>
  <c r="BG11" i="33" s="1"/>
  <c r="BI11" i="33" s="1"/>
  <c r="BJ11" i="33" s="1"/>
  <c r="BL11" i="33" s="1"/>
  <c r="BM11" i="33" s="1"/>
  <c r="BO11" i="33" s="1"/>
  <c r="BP11" i="33" s="1"/>
  <c r="BR11" i="33" s="1"/>
  <c r="BS11" i="33" s="1"/>
  <c r="BU11" i="33" s="1"/>
  <c r="BV11" i="33" s="1"/>
  <c r="D12" i="33"/>
  <c r="E12" i="33" s="1"/>
  <c r="G12" i="33" s="1"/>
  <c r="H12" i="33" s="1"/>
  <c r="J12" i="33" s="1"/>
  <c r="K12" i="33"/>
  <c r="M12" i="33" s="1"/>
  <c r="N12" i="33" s="1"/>
  <c r="P12" i="33" s="1"/>
  <c r="Q12" i="33" s="1"/>
  <c r="S12" i="33" s="1"/>
  <c r="T12" i="33" s="1"/>
  <c r="V12" i="33" s="1"/>
  <c r="W12" i="33" s="1"/>
  <c r="Y12" i="33" s="1"/>
  <c r="Z12" i="33" s="1"/>
  <c r="AB12" i="33" s="1"/>
  <c r="AC12" i="33" s="1"/>
  <c r="AE12" i="33" s="1"/>
  <c r="AF12" i="33" s="1"/>
  <c r="AH12" i="33" s="1"/>
  <c r="AI12" i="33" s="1"/>
  <c r="AK12" i="33" s="1"/>
  <c r="AL12" i="33" s="1"/>
  <c r="AN12" i="33" s="1"/>
  <c r="AO12" i="33" s="1"/>
  <c r="AQ12" i="33" s="1"/>
  <c r="AR12" i="33" s="1"/>
  <c r="AT12" i="33" s="1"/>
  <c r="AU12" i="33" s="1"/>
  <c r="AW12" i="33" s="1"/>
  <c r="AX12" i="33" s="1"/>
  <c r="AZ12" i="33" s="1"/>
  <c r="BA12" i="33" s="1"/>
  <c r="BC12" i="33" s="1"/>
  <c r="BD12" i="33" s="1"/>
  <c r="BF12" i="33" s="1"/>
  <c r="BG12" i="33" s="1"/>
  <c r="BI12" i="33" s="1"/>
  <c r="BJ12" i="33" s="1"/>
  <c r="BL12" i="33" s="1"/>
  <c r="BM12" i="33" s="1"/>
  <c r="BO12" i="33" s="1"/>
  <c r="BP12" i="33" s="1"/>
  <c r="BR12" i="33" s="1"/>
  <c r="BS12" i="33" s="1"/>
  <c r="BU12" i="33" s="1"/>
  <c r="BV12" i="33" s="1"/>
  <c r="D13" i="33"/>
  <c r="E13" i="33"/>
  <c r="G13" i="33"/>
  <c r="H13" i="33"/>
  <c r="J13" i="33" s="1"/>
  <c r="K13" i="33" s="1"/>
  <c r="M13" i="33" s="1"/>
  <c r="N13" i="33"/>
  <c r="P13" i="33" s="1"/>
  <c r="Q13" i="33"/>
  <c r="S13" i="33" s="1"/>
  <c r="T13" i="33" s="1"/>
  <c r="V13" i="33" s="1"/>
  <c r="W13" i="33"/>
  <c r="Y13" i="33" s="1"/>
  <c r="Z13" i="33" s="1"/>
  <c r="AB13" i="33" s="1"/>
  <c r="AC13" i="33" s="1"/>
  <c r="AE13" i="33" s="1"/>
  <c r="AF13" i="33" s="1"/>
  <c r="AH13" i="33" s="1"/>
  <c r="AI13" i="33" s="1"/>
  <c r="AK13" i="33" s="1"/>
  <c r="AL13" i="33" s="1"/>
  <c r="AN13" i="33" s="1"/>
  <c r="AO13" i="33" s="1"/>
  <c r="AQ13" i="33" s="1"/>
  <c r="AR13" i="33" s="1"/>
  <c r="AT13" i="33" s="1"/>
  <c r="AU13" i="33" s="1"/>
  <c r="AW13" i="33" s="1"/>
  <c r="AX13" i="33" s="1"/>
  <c r="AZ13" i="33" s="1"/>
  <c r="BA13" i="33" s="1"/>
  <c r="BC13" i="33" s="1"/>
  <c r="BD13" i="33" s="1"/>
  <c r="BF13" i="33" s="1"/>
  <c r="BG13" i="33" s="1"/>
  <c r="BI13" i="33" s="1"/>
  <c r="BJ13" i="33" s="1"/>
  <c r="BL13" i="33" s="1"/>
  <c r="BM13" i="33" s="1"/>
  <c r="BO13" i="33" s="1"/>
  <c r="BP13" i="33" s="1"/>
  <c r="BR13" i="33" s="1"/>
  <c r="BS13" i="33" s="1"/>
  <c r="BU13" i="33" s="1"/>
  <c r="BV13" i="33" s="1"/>
  <c r="BX13" i="33" s="1"/>
  <c r="BY13" i="33" s="1"/>
  <c r="CA13" i="33" s="1"/>
  <c r="CB13" i="33" s="1"/>
  <c r="CD13" i="33" s="1"/>
  <c r="CE13" i="33" s="1"/>
  <c r="D14" i="33"/>
  <c r="D15" i="33"/>
  <c r="E15" i="33" s="1"/>
  <c r="G15" i="33"/>
  <c r="H15" i="33" s="1"/>
  <c r="J15" i="33" s="1"/>
  <c r="K15" i="33" s="1"/>
  <c r="M15" i="33"/>
  <c r="N15" i="33"/>
  <c r="P15" i="33" s="1"/>
  <c r="Q15" i="33" s="1"/>
  <c r="S15" i="33" s="1"/>
  <c r="T15" i="33" s="1"/>
  <c r="V15" i="33" s="1"/>
  <c r="W15" i="33" s="1"/>
  <c r="Y15" i="33" s="1"/>
  <c r="Z15" i="33" s="1"/>
  <c r="AB15" i="33" s="1"/>
  <c r="AC15" i="33" s="1"/>
  <c r="AE15" i="33" s="1"/>
  <c r="AF15" i="33" s="1"/>
  <c r="AH15" i="33" s="1"/>
  <c r="AI15" i="33" s="1"/>
  <c r="AK15" i="33" s="1"/>
  <c r="AL15" i="33" s="1"/>
  <c r="AN15" i="33" s="1"/>
  <c r="AO15" i="33" s="1"/>
  <c r="AQ15" i="33" s="1"/>
  <c r="AR15" i="33" s="1"/>
  <c r="AT15" i="33" s="1"/>
  <c r="AU15" i="33" s="1"/>
  <c r="AW15" i="33" s="1"/>
  <c r="AX15" i="33" s="1"/>
  <c r="AZ15" i="33" s="1"/>
  <c r="BA15" i="33" s="1"/>
  <c r="BC15" i="33" s="1"/>
  <c r="BD15" i="33" s="1"/>
  <c r="BF15" i="33" s="1"/>
  <c r="BG15" i="33" s="1"/>
  <c r="BI15" i="33" s="1"/>
  <c r="BJ15" i="33" s="1"/>
  <c r="BL15" i="33" s="1"/>
  <c r="BM15" i="33" s="1"/>
  <c r="BO15" i="33" s="1"/>
  <c r="BP15" i="33" s="1"/>
  <c r="BR15" i="33" s="1"/>
  <c r="BS15" i="33" s="1"/>
  <c r="BU15" i="33" s="1"/>
  <c r="BV15" i="33" s="1"/>
  <c r="D16" i="33"/>
  <c r="E16" i="33" s="1"/>
  <c r="G16" i="33"/>
  <c r="H16" i="33" s="1"/>
  <c r="J16" i="33" s="1"/>
  <c r="K16" i="33" s="1"/>
  <c r="M16" i="33" s="1"/>
  <c r="N16" i="33" s="1"/>
  <c r="P16" i="33" s="1"/>
  <c r="Q16" i="33" s="1"/>
  <c r="S16" i="33" s="1"/>
  <c r="T16" i="33" s="1"/>
  <c r="V16" i="33" s="1"/>
  <c r="W16" i="33" s="1"/>
  <c r="Y16" i="33" s="1"/>
  <c r="Z16" i="33" s="1"/>
  <c r="AB16" i="33" s="1"/>
  <c r="AC16" i="33" s="1"/>
  <c r="AE16" i="33" s="1"/>
  <c r="AF16" i="33" s="1"/>
  <c r="AH16" i="33" s="1"/>
  <c r="AI16" i="33" s="1"/>
  <c r="AK16" i="33" s="1"/>
  <c r="AL16" i="33" s="1"/>
  <c r="AN16" i="33" s="1"/>
  <c r="AO16" i="33" s="1"/>
  <c r="AQ16" i="33" s="1"/>
  <c r="AR16" i="33" s="1"/>
  <c r="AT16" i="33" s="1"/>
  <c r="AU16" i="33" s="1"/>
  <c r="AW16" i="33" s="1"/>
  <c r="AX16" i="33" s="1"/>
  <c r="AZ16" i="33" s="1"/>
  <c r="BA16" i="33" s="1"/>
  <c r="BC16" i="33" s="1"/>
  <c r="BD16" i="33" s="1"/>
  <c r="BF16" i="33" s="1"/>
  <c r="BG16" i="33" s="1"/>
  <c r="BI16" i="33" s="1"/>
  <c r="BJ16" i="33" s="1"/>
  <c r="BL16" i="33" s="1"/>
  <c r="BM16" i="33" s="1"/>
  <c r="BO16" i="33" s="1"/>
  <c r="BP16" i="33" s="1"/>
  <c r="BR16" i="33" s="1"/>
  <c r="BS16" i="33" s="1"/>
  <c r="BU16" i="33" s="1"/>
  <c r="BV16" i="33" s="1"/>
  <c r="BX16" i="33" s="1"/>
  <c r="BY16" i="33" s="1"/>
  <c r="CA16" i="33" s="1"/>
  <c r="CB16" i="33" s="1"/>
  <c r="CD16" i="33" s="1"/>
  <c r="CE16" i="33" s="1"/>
  <c r="D17" i="33"/>
  <c r="E17" i="33" s="1"/>
  <c r="G17" i="33" s="1"/>
  <c r="H17" i="33" s="1"/>
  <c r="J17" i="33" s="1"/>
  <c r="K17" i="33" s="1"/>
  <c r="M17" i="33" s="1"/>
  <c r="N17" i="33" s="1"/>
  <c r="P17" i="33" s="1"/>
  <c r="Q17" i="33" s="1"/>
  <c r="S17" i="33" s="1"/>
  <c r="T17" i="33" s="1"/>
  <c r="V17" i="33" s="1"/>
  <c r="W17" i="33" s="1"/>
  <c r="Y17" i="33" s="1"/>
  <c r="Z17" i="33" s="1"/>
  <c r="AB17" i="33" s="1"/>
  <c r="AC17" i="33" s="1"/>
  <c r="AE17" i="33" s="1"/>
  <c r="AF17" i="33" s="1"/>
  <c r="AH17" i="33" s="1"/>
  <c r="AI17" i="33" s="1"/>
  <c r="AK17" i="33" s="1"/>
  <c r="AL17" i="33" s="1"/>
  <c r="AN17" i="33" s="1"/>
  <c r="AO17" i="33" s="1"/>
  <c r="AQ17" i="33" s="1"/>
  <c r="AR17" i="33" s="1"/>
  <c r="AT17" i="33" s="1"/>
  <c r="AU17" i="33" s="1"/>
  <c r="AW17" i="33" s="1"/>
  <c r="AX17" i="33" s="1"/>
  <c r="AZ17" i="33" s="1"/>
  <c r="BA17" i="33" s="1"/>
  <c r="BC17" i="33" s="1"/>
  <c r="BD17" i="33" s="1"/>
  <c r="BF17" i="33" s="1"/>
  <c r="BG17" i="33" s="1"/>
  <c r="BI17" i="33" s="1"/>
  <c r="BJ17" i="33" s="1"/>
  <c r="BL17" i="33" s="1"/>
  <c r="BM17" i="33" s="1"/>
  <c r="BO17" i="33" s="1"/>
  <c r="BP17" i="33" s="1"/>
  <c r="BR17" i="33" s="1"/>
  <c r="BS17" i="33" s="1"/>
  <c r="BU17" i="33" s="1"/>
  <c r="BV17" i="33" s="1"/>
  <c r="D18" i="33"/>
  <c r="E18" i="33" s="1"/>
  <c r="G18" i="33" s="1"/>
  <c r="H18" i="33" s="1"/>
  <c r="J18" i="33" s="1"/>
  <c r="K18" i="33" s="1"/>
  <c r="M18" i="33" s="1"/>
  <c r="N18" i="33" s="1"/>
  <c r="P18" i="33" s="1"/>
  <c r="Q18" i="33" s="1"/>
  <c r="S18" i="33" s="1"/>
  <c r="T18" i="33" s="1"/>
  <c r="V18" i="33" s="1"/>
  <c r="W18" i="33" s="1"/>
  <c r="Y18" i="33" s="1"/>
  <c r="Z18" i="33" s="1"/>
  <c r="AB18" i="33" s="1"/>
  <c r="AC18" i="33" s="1"/>
  <c r="AE18" i="33" s="1"/>
  <c r="AF18" i="33" s="1"/>
  <c r="AH18" i="33" s="1"/>
  <c r="AI18" i="33" s="1"/>
  <c r="AK18" i="33" s="1"/>
  <c r="AL18" i="33" s="1"/>
  <c r="AN18" i="33" s="1"/>
  <c r="AO18" i="33" s="1"/>
  <c r="AQ18" i="33" s="1"/>
  <c r="AR18" i="33" s="1"/>
  <c r="AT18" i="33" s="1"/>
  <c r="AU18" i="33" s="1"/>
  <c r="AW18" i="33" s="1"/>
  <c r="AX18" i="33" s="1"/>
  <c r="AZ18" i="33" s="1"/>
  <c r="BA18" i="33" s="1"/>
  <c r="BC18" i="33" s="1"/>
  <c r="BD18" i="33" s="1"/>
  <c r="BF18" i="33" s="1"/>
  <c r="BG18" i="33" s="1"/>
  <c r="BI18" i="33" s="1"/>
  <c r="BJ18" i="33" s="1"/>
  <c r="BL18" i="33" s="1"/>
  <c r="BM18" i="33" s="1"/>
  <c r="BO18" i="33" s="1"/>
  <c r="BP18" i="33" s="1"/>
  <c r="BR18" i="33" s="1"/>
  <c r="BS18" i="33" s="1"/>
  <c r="BU18" i="33" s="1"/>
  <c r="BV18" i="33" s="1"/>
  <c r="D19" i="33"/>
  <c r="E19" i="33" s="1"/>
  <c r="G19" i="33" s="1"/>
  <c r="D20" i="33"/>
  <c r="E20" i="33" s="1"/>
  <c r="G20" i="33"/>
  <c r="H20" i="33"/>
  <c r="J20" i="33" s="1"/>
  <c r="K20" i="33" s="1"/>
  <c r="M20" i="33" s="1"/>
  <c r="N20" i="33"/>
  <c r="P20" i="33"/>
  <c r="Q20" i="33" s="1"/>
  <c r="S20" i="33" s="1"/>
  <c r="T20" i="33" s="1"/>
  <c r="V20" i="33" s="1"/>
  <c r="W20" i="33" s="1"/>
  <c r="Y20" i="33" s="1"/>
  <c r="Z20" i="33" s="1"/>
  <c r="AB20" i="33" s="1"/>
  <c r="AC20" i="33" s="1"/>
  <c r="AE20" i="33" s="1"/>
  <c r="AF20" i="33" s="1"/>
  <c r="AH20" i="33" s="1"/>
  <c r="AI20" i="33" s="1"/>
  <c r="AK20" i="33" s="1"/>
  <c r="AL20" i="33" s="1"/>
  <c r="AN20" i="33" s="1"/>
  <c r="AO20" i="33" s="1"/>
  <c r="AQ20" i="33" s="1"/>
  <c r="AR20" i="33" s="1"/>
  <c r="AT20" i="33" s="1"/>
  <c r="AU20" i="33" s="1"/>
  <c r="AW20" i="33" s="1"/>
  <c r="AX20" i="33" s="1"/>
  <c r="AZ20" i="33" s="1"/>
  <c r="BA20" i="33" s="1"/>
  <c r="BC20" i="33" s="1"/>
  <c r="BD20" i="33" s="1"/>
  <c r="BF20" i="33" s="1"/>
  <c r="BG20" i="33" s="1"/>
  <c r="BI20" i="33" s="1"/>
  <c r="BJ20" i="33" s="1"/>
  <c r="BL20" i="33" s="1"/>
  <c r="BM20" i="33" s="1"/>
  <c r="BO20" i="33" s="1"/>
  <c r="BP20" i="33" s="1"/>
  <c r="BR20" i="33" s="1"/>
  <c r="BS20" i="33" s="1"/>
  <c r="BU20" i="33" s="1"/>
  <c r="BV20" i="33" s="1"/>
  <c r="D21" i="33"/>
  <c r="E21" i="33" s="1"/>
  <c r="G21" i="33" s="1"/>
  <c r="H21" i="33" s="1"/>
  <c r="J21" i="33" s="1"/>
  <c r="K21" i="33" s="1"/>
  <c r="M21" i="33" s="1"/>
  <c r="N21" i="33" s="1"/>
  <c r="P21" i="33" s="1"/>
  <c r="Q21" i="33" s="1"/>
  <c r="S21" i="33" s="1"/>
  <c r="T21" i="33" s="1"/>
  <c r="V21" i="33" s="1"/>
  <c r="W21" i="33" s="1"/>
  <c r="Y21" i="33" s="1"/>
  <c r="Z21" i="33" s="1"/>
  <c r="AB21" i="33" s="1"/>
  <c r="AC21" i="33" s="1"/>
  <c r="AE21" i="33" s="1"/>
  <c r="AF21" i="33" s="1"/>
  <c r="AH21" i="33" s="1"/>
  <c r="AI21" i="33" s="1"/>
  <c r="AK21" i="33" s="1"/>
  <c r="AL21" i="33" s="1"/>
  <c r="AN21" i="33" s="1"/>
  <c r="AO21" i="33" s="1"/>
  <c r="AQ21" i="33" s="1"/>
  <c r="AR21" i="33" s="1"/>
  <c r="AT21" i="33" s="1"/>
  <c r="AU21" i="33" s="1"/>
  <c r="AW21" i="33" s="1"/>
  <c r="AX21" i="33" s="1"/>
  <c r="AZ21" i="33" s="1"/>
  <c r="BA21" i="33" s="1"/>
  <c r="BC21" i="33" s="1"/>
  <c r="BD21" i="33" s="1"/>
  <c r="BF21" i="33" s="1"/>
  <c r="BG21" i="33" s="1"/>
  <c r="BI21" i="33" s="1"/>
  <c r="BJ21" i="33" s="1"/>
  <c r="BL21" i="33" s="1"/>
  <c r="BM21" i="33" s="1"/>
  <c r="BO21" i="33" s="1"/>
  <c r="BP21" i="33" s="1"/>
  <c r="BR21" i="33" s="1"/>
  <c r="BS21" i="33" s="1"/>
  <c r="BU21" i="33" s="1"/>
  <c r="BV21" i="33" s="1"/>
  <c r="D22" i="33"/>
  <c r="E22" i="33" s="1"/>
  <c r="G22" i="33" s="1"/>
  <c r="H22" i="33" s="1"/>
  <c r="J22" i="33" s="1"/>
  <c r="K22" i="33" s="1"/>
  <c r="M22" i="33" s="1"/>
  <c r="N22" i="33" s="1"/>
  <c r="P22" i="33" s="1"/>
  <c r="Q22" i="33" s="1"/>
  <c r="S22" i="33" s="1"/>
  <c r="T22" i="33" s="1"/>
  <c r="V22" i="33" s="1"/>
  <c r="W22" i="33" s="1"/>
  <c r="Y22" i="33" s="1"/>
  <c r="Z22" i="33" s="1"/>
  <c r="AB22" i="33" s="1"/>
  <c r="AC22" i="33" s="1"/>
  <c r="AE22" i="33" s="1"/>
  <c r="AF22" i="33" s="1"/>
  <c r="AH22" i="33" s="1"/>
  <c r="AI22" i="33" s="1"/>
  <c r="AK22" i="33" s="1"/>
  <c r="AL22" i="33" s="1"/>
  <c r="AN22" i="33" s="1"/>
  <c r="AO22" i="33" s="1"/>
  <c r="AQ22" i="33" s="1"/>
  <c r="AR22" i="33" s="1"/>
  <c r="AT22" i="33" s="1"/>
  <c r="AU22" i="33" s="1"/>
  <c r="AW22" i="33" s="1"/>
  <c r="AX22" i="33" s="1"/>
  <c r="AZ22" i="33" s="1"/>
  <c r="BA22" i="33" s="1"/>
  <c r="BC22" i="33" s="1"/>
  <c r="BD22" i="33" s="1"/>
  <c r="BF22" i="33" s="1"/>
  <c r="BG22" i="33" s="1"/>
  <c r="BI22" i="33" s="1"/>
  <c r="BJ22" i="33" s="1"/>
  <c r="BL22" i="33" s="1"/>
  <c r="BM22" i="33" s="1"/>
  <c r="BO22" i="33" s="1"/>
  <c r="BP22" i="33" s="1"/>
  <c r="BR22" i="33" s="1"/>
  <c r="BS22" i="33" s="1"/>
  <c r="BU22" i="33" s="1"/>
  <c r="BV22" i="33" s="1"/>
  <c r="D23" i="33"/>
  <c r="E23" i="33"/>
  <c r="G23" i="33" s="1"/>
  <c r="H23" i="33" s="1"/>
  <c r="J23" i="33" s="1"/>
  <c r="K23" i="33" s="1"/>
  <c r="M23" i="33" s="1"/>
  <c r="N23" i="33" s="1"/>
  <c r="P23" i="33" s="1"/>
  <c r="Q23" i="33" s="1"/>
  <c r="S23" i="33" s="1"/>
  <c r="T23" i="33" s="1"/>
  <c r="V23" i="33" s="1"/>
  <c r="W23" i="33" s="1"/>
  <c r="Y23" i="33" s="1"/>
  <c r="Z23" i="33" s="1"/>
  <c r="AB23" i="33" s="1"/>
  <c r="AC23" i="33" s="1"/>
  <c r="AE23" i="33" s="1"/>
  <c r="AF23" i="33" s="1"/>
  <c r="AH23" i="33" s="1"/>
  <c r="AI23" i="33" s="1"/>
  <c r="AK23" i="33" s="1"/>
  <c r="AL23" i="33" s="1"/>
  <c r="AN23" i="33" s="1"/>
  <c r="AO23" i="33" s="1"/>
  <c r="AQ23" i="33" s="1"/>
  <c r="AR23" i="33" s="1"/>
  <c r="AT23" i="33" s="1"/>
  <c r="AU23" i="33" s="1"/>
  <c r="AW23" i="33" s="1"/>
  <c r="AX23" i="33" s="1"/>
  <c r="AZ23" i="33" s="1"/>
  <c r="BA23" i="33" s="1"/>
  <c r="BC23" i="33" s="1"/>
  <c r="BD23" i="33" s="1"/>
  <c r="BF23" i="33" s="1"/>
  <c r="BG23" i="33" s="1"/>
  <c r="BI23" i="33" s="1"/>
  <c r="BJ23" i="33" s="1"/>
  <c r="BL23" i="33" s="1"/>
  <c r="BM23" i="33" s="1"/>
  <c r="BO23" i="33" s="1"/>
  <c r="BP23" i="33" s="1"/>
  <c r="BR23" i="33" s="1"/>
  <c r="BS23" i="33" s="1"/>
  <c r="BU23" i="33" s="1"/>
  <c r="BV23" i="33" s="1"/>
  <c r="D24" i="33"/>
  <c r="E24" i="33"/>
  <c r="G24" i="33"/>
  <c r="H24" i="33" s="1"/>
  <c r="J24" i="33" s="1"/>
  <c r="K24" i="33" s="1"/>
  <c r="M24" i="33"/>
  <c r="N24" i="33" s="1"/>
  <c r="P24" i="33"/>
  <c r="Q24" i="33" s="1"/>
  <c r="S24" i="33" s="1"/>
  <c r="T24" i="33" s="1"/>
  <c r="V24" i="33" s="1"/>
  <c r="W24" i="33" s="1"/>
  <c r="Y24" i="33" s="1"/>
  <c r="Z24" i="33" s="1"/>
  <c r="AB24" i="33" s="1"/>
  <c r="AC24" i="33" s="1"/>
  <c r="AE24" i="33" s="1"/>
  <c r="AF24" i="33" s="1"/>
  <c r="AH24" i="33" s="1"/>
  <c r="AI24" i="33" s="1"/>
  <c r="AK24" i="33" s="1"/>
  <c r="AL24" i="33" s="1"/>
  <c r="AN24" i="33" s="1"/>
  <c r="AO24" i="33" s="1"/>
  <c r="AQ24" i="33" s="1"/>
  <c r="AR24" i="33" s="1"/>
  <c r="AT24" i="33" s="1"/>
  <c r="AU24" i="33" s="1"/>
  <c r="AW24" i="33" s="1"/>
  <c r="AX24" i="33" s="1"/>
  <c r="AZ24" i="33" s="1"/>
  <c r="BA24" i="33" s="1"/>
  <c r="BC24" i="33" s="1"/>
  <c r="BD24" i="33" s="1"/>
  <c r="BF24" i="33" s="1"/>
  <c r="BG24" i="33" s="1"/>
  <c r="BI24" i="33" s="1"/>
  <c r="BJ24" i="33" s="1"/>
  <c r="BL24" i="33" s="1"/>
  <c r="BM24" i="33" s="1"/>
  <c r="BO24" i="33" s="1"/>
  <c r="BP24" i="33" s="1"/>
  <c r="BR24" i="33" s="1"/>
  <c r="BS24" i="33" s="1"/>
  <c r="BU24" i="33" s="1"/>
  <c r="BV24" i="33" s="1"/>
  <c r="CX6" i="33"/>
  <c r="CX7" i="33"/>
  <c r="CX8" i="33" s="1"/>
  <c r="CC6" i="33"/>
  <c r="CC7" i="33" s="1"/>
  <c r="CC8" i="33" s="1"/>
  <c r="CC9" i="33" s="1"/>
  <c r="CC10" i="33"/>
  <c r="CC11" i="33" s="1"/>
  <c r="CC12" i="33"/>
  <c r="CC13" i="33" s="1"/>
  <c r="CC14" i="33" s="1"/>
  <c r="CC15" i="33" s="1"/>
  <c r="CC16" i="33"/>
  <c r="CC17" i="33" s="1"/>
  <c r="CC18" i="33" s="1"/>
  <c r="CC19" i="33" s="1"/>
  <c r="CC20" i="33" s="1"/>
  <c r="CC21" i="33" s="1"/>
  <c r="CC22" i="33" s="1"/>
  <c r="CC23" i="33" s="1"/>
  <c r="CC24" i="33" s="1"/>
  <c r="BZ6" i="33"/>
  <c r="BZ7" i="33" s="1"/>
  <c r="BZ8" i="33" s="1"/>
  <c r="BZ9" i="33"/>
  <c r="BZ10" i="33"/>
  <c r="BZ11" i="33" s="1"/>
  <c r="BZ12" i="33" s="1"/>
  <c r="BZ13" i="33"/>
  <c r="BZ14" i="33" s="1"/>
  <c r="BZ15" i="33" s="1"/>
  <c r="BZ16" i="33" s="1"/>
  <c r="BZ17" i="33" s="1"/>
  <c r="BZ18" i="33" s="1"/>
  <c r="BZ19" i="33" s="1"/>
  <c r="BZ20" i="33" s="1"/>
  <c r="BZ21" i="33" s="1"/>
  <c r="BZ22" i="33" s="1"/>
  <c r="BZ23" i="33" s="1"/>
  <c r="BZ24" i="33" s="1"/>
  <c r="BW6" i="33"/>
  <c r="BW7" i="33"/>
  <c r="BW8" i="33" s="1"/>
  <c r="BW9" i="33" s="1"/>
  <c r="BW10" i="33"/>
  <c r="BW11" i="33" s="1"/>
  <c r="BW12" i="33" s="1"/>
  <c r="BW13" i="33" s="1"/>
  <c r="BW14" i="33" s="1"/>
  <c r="BW15" i="33" s="1"/>
  <c r="BW16" i="33" s="1"/>
  <c r="BW17" i="33" s="1"/>
  <c r="BW18" i="33" s="1"/>
  <c r="BW19" i="33" s="1"/>
  <c r="CX9" i="33" l="1"/>
  <c r="CG5" i="33"/>
  <c r="CH5" i="33" s="1"/>
  <c r="CI5" i="33" s="1"/>
  <c r="CF6" i="33"/>
  <c r="CF7" i="33" s="1"/>
  <c r="CF8" i="33" s="1"/>
  <c r="CF9" i="33" s="1"/>
  <c r="CF10" i="33" s="1"/>
  <c r="CF11" i="33" s="1"/>
  <c r="CF12" i="33" s="1"/>
  <c r="CF13" i="33" s="1"/>
  <c r="CF14" i="33" s="1"/>
  <c r="CF15" i="33" s="1"/>
  <c r="CF16" i="33" s="1"/>
  <c r="CF17" i="33" s="1"/>
  <c r="CF18" i="33" s="1"/>
  <c r="CF19" i="33" s="1"/>
  <c r="CF20" i="33" s="1"/>
  <c r="CF21" i="33" s="1"/>
  <c r="CF22" i="33" s="1"/>
  <c r="CF23" i="33" s="1"/>
  <c r="CF24" i="33" s="1"/>
  <c r="BW20" i="33"/>
  <c r="BW21" i="33" s="1"/>
  <c r="BW22" i="33" s="1"/>
  <c r="BW23" i="33" s="1"/>
  <c r="BW24" i="33" s="1"/>
  <c r="BX24" i="33" s="1"/>
  <c r="BY24" i="33" s="1"/>
  <c r="CA24" i="33" s="1"/>
  <c r="CB24" i="33" s="1"/>
  <c r="CD24" i="33" s="1"/>
  <c r="CE24" i="33" s="1"/>
  <c r="CG24" i="33" s="1"/>
  <c r="CH24" i="33" s="1"/>
  <c r="BX19" i="33"/>
  <c r="BY19" i="33" s="1"/>
  <c r="CA19" i="33" s="1"/>
  <c r="CB19" i="33" s="1"/>
  <c r="CD19" i="33" s="1"/>
  <c r="CE19" i="33" s="1"/>
  <c r="BX18" i="33"/>
  <c r="BY18" i="33" s="1"/>
  <c r="CA18" i="33" s="1"/>
  <c r="CB18" i="33" s="1"/>
  <c r="CD18" i="33" s="1"/>
  <c r="CE18" i="33" s="1"/>
  <c r="CG18" i="33" s="1"/>
  <c r="CH18" i="33" s="1"/>
  <c r="BX15" i="33"/>
  <c r="BY15" i="33" s="1"/>
  <c r="CA15" i="33" s="1"/>
  <c r="CB15" i="33" s="1"/>
  <c r="CD15" i="33" s="1"/>
  <c r="CE15" i="33" s="1"/>
  <c r="CG15" i="33" s="1"/>
  <c r="CH15" i="33" s="1"/>
  <c r="BX12" i="33"/>
  <c r="BY12" i="33" s="1"/>
  <c r="CA12" i="33" s="1"/>
  <c r="CB12" i="33" s="1"/>
  <c r="CD12" i="33" s="1"/>
  <c r="CE12" i="33" s="1"/>
  <c r="CG7" i="33"/>
  <c r="CH7" i="33" s="1"/>
  <c r="CG6" i="33"/>
  <c r="CH6" i="33" s="1"/>
  <c r="BX17" i="33"/>
  <c r="BY17" i="33" s="1"/>
  <c r="CA17" i="33" s="1"/>
  <c r="CB17" i="33" s="1"/>
  <c r="CD17" i="33" s="1"/>
  <c r="CE17" i="33" s="1"/>
  <c r="BX11" i="33"/>
  <c r="BY11" i="33" s="1"/>
  <c r="CA11" i="33" s="1"/>
  <c r="CB11" i="33" s="1"/>
  <c r="CD11" i="33" s="1"/>
  <c r="CE11" i="33" s="1"/>
  <c r="BX9" i="33"/>
  <c r="BY9" i="33" s="1"/>
  <c r="CA9" i="33" s="1"/>
  <c r="CB9" i="33" s="1"/>
  <c r="CD9" i="33" s="1"/>
  <c r="CE9" i="33" s="1"/>
  <c r="CG9" i="33" s="1"/>
  <c r="CH9" i="33" s="1"/>
  <c r="BX20" i="33" l="1"/>
  <c r="BY20" i="33" s="1"/>
  <c r="CA20" i="33" s="1"/>
  <c r="CB20" i="33" s="1"/>
  <c r="CD20" i="33" s="1"/>
  <c r="CE20" i="33" s="1"/>
  <c r="CG20" i="33" s="1"/>
  <c r="CH20" i="33" s="1"/>
  <c r="BX21" i="33"/>
  <c r="BY21" i="33" s="1"/>
  <c r="CA21" i="33" s="1"/>
  <c r="CB21" i="33" s="1"/>
  <c r="CD21" i="33" s="1"/>
  <c r="CE21" i="33" s="1"/>
  <c r="CG21" i="33" s="1"/>
  <c r="CH21" i="33" s="1"/>
  <c r="CX10" i="33"/>
  <c r="BX23" i="33"/>
  <c r="BY23" i="33" s="1"/>
  <c r="CA23" i="33" s="1"/>
  <c r="CB23" i="33" s="1"/>
  <c r="CD23" i="33" s="1"/>
  <c r="CE23" i="33" s="1"/>
  <c r="CG23" i="33" s="1"/>
  <c r="CH23" i="33" s="1"/>
  <c r="CG11" i="33"/>
  <c r="CH11" i="33" s="1"/>
  <c r="CG10" i="33"/>
  <c r="CH10" i="33" s="1"/>
  <c r="BX22" i="33"/>
  <c r="BY22" i="33" s="1"/>
  <c r="CA22" i="33" s="1"/>
  <c r="CB22" i="33" s="1"/>
  <c r="CD22" i="33" s="1"/>
  <c r="CE22" i="33" s="1"/>
  <c r="CG22" i="33" s="1"/>
  <c r="CH22" i="33" s="1"/>
  <c r="CI6" i="33"/>
  <c r="CJ5" i="33"/>
  <c r="CK5" i="33" s="1"/>
  <c r="CL5" i="33" s="1"/>
  <c r="CG14" i="33"/>
  <c r="CH14" i="33" s="1"/>
  <c r="CG13" i="33"/>
  <c r="CH13" i="33" s="1"/>
  <c r="CG17" i="33"/>
  <c r="CH17" i="33" s="1"/>
  <c r="CG12" i="33"/>
  <c r="CH12" i="33" s="1"/>
  <c r="CG19" i="33"/>
  <c r="CH19" i="33" s="1"/>
  <c r="CG8" i="33"/>
  <c r="CH8" i="33" s="1"/>
  <c r="CG16" i="33"/>
  <c r="CH16" i="33" s="1"/>
  <c r="CX11" i="33" l="1"/>
  <c r="CM5" i="33"/>
  <c r="CN5" i="33" s="1"/>
  <c r="CO5" i="33" s="1"/>
  <c r="CL6" i="33"/>
  <c r="CI7" i="33"/>
  <c r="CJ6" i="33"/>
  <c r="CK6" i="33" s="1"/>
  <c r="CM6" i="33" l="1"/>
  <c r="CN6" i="33" s="1"/>
  <c r="CL7" i="33"/>
  <c r="CP5" i="33"/>
  <c r="CQ5" i="33" s="1"/>
  <c r="CR5" i="33" s="1"/>
  <c r="CO6" i="33"/>
  <c r="CI8" i="33"/>
  <c r="CJ7" i="33"/>
  <c r="CK7" i="33" s="1"/>
  <c r="CX12" i="33"/>
  <c r="CX13" i="33" l="1"/>
  <c r="CP6" i="33"/>
  <c r="CQ6" i="33" s="1"/>
  <c r="CO7" i="33"/>
  <c r="CS5" i="33"/>
  <c r="CT5" i="33" s="1"/>
  <c r="CU5" i="33" s="1"/>
  <c r="CR6" i="33"/>
  <c r="CL8" i="33"/>
  <c r="CM7" i="33"/>
  <c r="CN7" i="33" s="1"/>
  <c r="CJ8" i="33"/>
  <c r="CK8" i="33" s="1"/>
  <c r="CI9" i="33"/>
  <c r="CP7" i="33" l="1"/>
  <c r="CQ7" i="33" s="1"/>
  <c r="CO8" i="33"/>
  <c r="CM8" i="33"/>
  <c r="CN8" i="33" s="1"/>
  <c r="CL9" i="33"/>
  <c r="CJ9" i="33"/>
  <c r="CK9" i="33" s="1"/>
  <c r="CI10" i="33"/>
  <c r="CR7" i="33"/>
  <c r="CS6" i="33"/>
  <c r="CT6" i="33" s="1"/>
  <c r="CV5" i="33"/>
  <c r="CW5" i="33" s="1"/>
  <c r="CY5" i="33" s="1"/>
  <c r="CZ5" i="33" s="1"/>
  <c r="DB5" i="33" s="1"/>
  <c r="DC5" i="33" s="1"/>
  <c r="DE5" i="33" s="1"/>
  <c r="DF5" i="33" s="1"/>
  <c r="DH5" i="33" s="1"/>
  <c r="CU6" i="33"/>
  <c r="CX14" i="33"/>
  <c r="CX15" i="33" l="1"/>
  <c r="CM9" i="33"/>
  <c r="CN9" i="33" s="1"/>
  <c r="CL10" i="33"/>
  <c r="CS7" i="33"/>
  <c r="CT7" i="33" s="1"/>
  <c r="CR8" i="33"/>
  <c r="CV6" i="33"/>
  <c r="CW6" i="33" s="1"/>
  <c r="CY6" i="33" s="1"/>
  <c r="CZ6" i="33" s="1"/>
  <c r="DB6" i="33" s="1"/>
  <c r="DC6" i="33" s="1"/>
  <c r="DE6" i="33" s="1"/>
  <c r="DF6" i="33" s="1"/>
  <c r="DH6" i="33" s="1"/>
  <c r="CU7" i="33"/>
  <c r="CJ10" i="33"/>
  <c r="CK10" i="33" s="1"/>
  <c r="CI11" i="33"/>
  <c r="CO9" i="33"/>
  <c r="CP8" i="33"/>
  <c r="CQ8" i="33" s="1"/>
  <c r="CV7" i="33" l="1"/>
  <c r="CW7" i="33" s="1"/>
  <c r="CY7" i="33" s="1"/>
  <c r="CZ7" i="33" s="1"/>
  <c r="DB7" i="33" s="1"/>
  <c r="DC7" i="33" s="1"/>
  <c r="DE7" i="33" s="1"/>
  <c r="DF7" i="33" s="1"/>
  <c r="DH7" i="33" s="1"/>
  <c r="CU8" i="33"/>
  <c r="CL11" i="33"/>
  <c r="CM10" i="33"/>
  <c r="CN10" i="33" s="1"/>
  <c r="CO10" i="33"/>
  <c r="CP9" i="33"/>
  <c r="CQ9" i="33" s="1"/>
  <c r="CJ11" i="33"/>
  <c r="CK11" i="33" s="1"/>
  <c r="CI12" i="33"/>
  <c r="CR9" i="33"/>
  <c r="CS8" i="33"/>
  <c r="CT8" i="33" s="1"/>
  <c r="CX16" i="33"/>
  <c r="CI13" i="33" l="1"/>
  <c r="CJ12" i="33"/>
  <c r="CK12" i="33" s="1"/>
  <c r="CX17" i="33"/>
  <c r="CM11" i="33"/>
  <c r="CN11" i="33" s="1"/>
  <c r="CL12" i="33"/>
  <c r="CU9" i="33"/>
  <c r="CV8" i="33"/>
  <c r="CW8" i="33" s="1"/>
  <c r="CY8" i="33" s="1"/>
  <c r="CZ8" i="33" s="1"/>
  <c r="DB8" i="33" s="1"/>
  <c r="DC8" i="33" s="1"/>
  <c r="DE8" i="33" s="1"/>
  <c r="DF8" i="33" s="1"/>
  <c r="DH8" i="33" s="1"/>
  <c r="CR10" i="33"/>
  <c r="CS9" i="33"/>
  <c r="CT9" i="33" s="1"/>
  <c r="CO11" i="33"/>
  <c r="CP10" i="33"/>
  <c r="CQ10" i="33" s="1"/>
  <c r="CO12" i="33" l="1"/>
  <c r="CP11" i="33"/>
  <c r="CQ11" i="33" s="1"/>
  <c r="CV9" i="33"/>
  <c r="CW9" i="33" s="1"/>
  <c r="CY9" i="33" s="1"/>
  <c r="CZ9" i="33" s="1"/>
  <c r="DB9" i="33" s="1"/>
  <c r="DC9" i="33" s="1"/>
  <c r="DE9" i="33" s="1"/>
  <c r="DF9" i="33" s="1"/>
  <c r="DH9" i="33" s="1"/>
  <c r="CU10" i="33"/>
  <c r="CX18" i="33"/>
  <c r="CM12" i="33"/>
  <c r="CN12" i="33" s="1"/>
  <c r="CL13" i="33"/>
  <c r="CS10" i="33"/>
  <c r="CT10" i="33" s="1"/>
  <c r="CR11" i="33"/>
  <c r="CI14" i="33"/>
  <c r="CJ13" i="33"/>
  <c r="CK13" i="33" s="1"/>
  <c r="CL14" i="33" l="1"/>
  <c r="CM13" i="33"/>
  <c r="CN13" i="33" s="1"/>
  <c r="CV10" i="33"/>
  <c r="CW10" i="33" s="1"/>
  <c r="CY10" i="33" s="1"/>
  <c r="CZ10" i="33" s="1"/>
  <c r="DB10" i="33" s="1"/>
  <c r="DC10" i="33" s="1"/>
  <c r="DE10" i="33" s="1"/>
  <c r="DF10" i="33" s="1"/>
  <c r="DH10" i="33" s="1"/>
  <c r="CU11" i="33"/>
  <c r="CI15" i="33"/>
  <c r="CJ14" i="33"/>
  <c r="CK14" i="33" s="1"/>
  <c r="CS11" i="33"/>
  <c r="CT11" i="33" s="1"/>
  <c r="CR12" i="33"/>
  <c r="CX19" i="33"/>
  <c r="CP12" i="33"/>
  <c r="CQ12" i="33" s="1"/>
  <c r="CO13" i="33"/>
  <c r="CO14" i="33" l="1"/>
  <c r="CP13" i="33"/>
  <c r="CQ13" i="33" s="1"/>
  <c r="CS12" i="33"/>
  <c r="CT12" i="33" s="1"/>
  <c r="CR13" i="33"/>
  <c r="CV11" i="33"/>
  <c r="CW11" i="33" s="1"/>
  <c r="CY11" i="33" s="1"/>
  <c r="CZ11" i="33" s="1"/>
  <c r="DB11" i="33" s="1"/>
  <c r="DC11" i="33" s="1"/>
  <c r="DE11" i="33" s="1"/>
  <c r="DF11" i="33" s="1"/>
  <c r="DH11" i="33" s="1"/>
  <c r="CU12" i="33"/>
  <c r="CX20" i="33"/>
  <c r="CI16" i="33"/>
  <c r="CJ15" i="33"/>
  <c r="CK15" i="33" s="1"/>
  <c r="CL15" i="33"/>
  <c r="CM14" i="33"/>
  <c r="CN14" i="33" s="1"/>
  <c r="CX21" i="33" l="1"/>
  <c r="CR14" i="33"/>
  <c r="CS13" i="33"/>
  <c r="CT13" i="33" s="1"/>
  <c r="CL16" i="33"/>
  <c r="CM15" i="33"/>
  <c r="CN15" i="33" s="1"/>
  <c r="CV12" i="33"/>
  <c r="CW12" i="33" s="1"/>
  <c r="CY12" i="33" s="1"/>
  <c r="CZ12" i="33" s="1"/>
  <c r="DB12" i="33" s="1"/>
  <c r="DC12" i="33" s="1"/>
  <c r="DE12" i="33" s="1"/>
  <c r="DF12" i="33" s="1"/>
  <c r="DH12" i="33" s="1"/>
  <c r="CU13" i="33"/>
  <c r="CI17" i="33"/>
  <c r="CJ16" i="33"/>
  <c r="CK16" i="33" s="1"/>
  <c r="CP14" i="33"/>
  <c r="CQ14" i="33" s="1"/>
  <c r="CO15" i="33"/>
  <c r="CO16" i="33" l="1"/>
  <c r="CP15" i="33"/>
  <c r="CQ15" i="33" s="1"/>
  <c r="CV13" i="33"/>
  <c r="CW13" i="33" s="1"/>
  <c r="CY13" i="33" s="1"/>
  <c r="CZ13" i="33" s="1"/>
  <c r="DB13" i="33" s="1"/>
  <c r="DC13" i="33" s="1"/>
  <c r="DE13" i="33" s="1"/>
  <c r="DF13" i="33" s="1"/>
  <c r="DH13" i="33" s="1"/>
  <c r="CU14" i="33"/>
  <c r="CR15" i="33"/>
  <c r="CS14" i="33"/>
  <c r="CT14" i="33" s="1"/>
  <c r="CI18" i="33"/>
  <c r="CJ17" i="33"/>
  <c r="CK17" i="33" s="1"/>
  <c r="CL17" i="33"/>
  <c r="CM16" i="33"/>
  <c r="CN16" i="33" s="1"/>
  <c r="CX22" i="33"/>
  <c r="CV14" i="33" l="1"/>
  <c r="CW14" i="33" s="1"/>
  <c r="CY14" i="33" s="1"/>
  <c r="CZ14" i="33" s="1"/>
  <c r="DB14" i="33" s="1"/>
  <c r="DC14" i="33" s="1"/>
  <c r="DE14" i="33" s="1"/>
  <c r="DF14" i="33" s="1"/>
  <c r="DH14" i="33" s="1"/>
  <c r="CU15" i="33"/>
  <c r="CX23" i="33"/>
  <c r="CJ18" i="33"/>
  <c r="CK18" i="33" s="1"/>
  <c r="CI19" i="33"/>
  <c r="CL18" i="33"/>
  <c r="CM17" i="33"/>
  <c r="CN17" i="33" s="1"/>
  <c r="CS15" i="33"/>
  <c r="CT15" i="33" s="1"/>
  <c r="CR16" i="33"/>
  <c r="CP16" i="33"/>
  <c r="CQ16" i="33" s="1"/>
  <c r="CO17" i="33"/>
  <c r="CP17" i="33" l="1"/>
  <c r="CQ17" i="33" s="1"/>
  <c r="CO18" i="33"/>
  <c r="CM18" i="33"/>
  <c r="CN18" i="33" s="1"/>
  <c r="CL19" i="33"/>
  <c r="CX24" i="33"/>
  <c r="CS16" i="33"/>
  <c r="CT16" i="33" s="1"/>
  <c r="CR17" i="33"/>
  <c r="CI20" i="33"/>
  <c r="CJ19" i="33"/>
  <c r="CK19" i="33" s="1"/>
  <c r="CV15" i="33"/>
  <c r="CW15" i="33" s="1"/>
  <c r="CY15" i="33" s="1"/>
  <c r="CZ15" i="33" s="1"/>
  <c r="DB15" i="33" s="1"/>
  <c r="DC15" i="33" s="1"/>
  <c r="DE15" i="33" s="1"/>
  <c r="DF15" i="33" s="1"/>
  <c r="DH15" i="33" s="1"/>
  <c r="CU16" i="33"/>
  <c r="CI21" i="33" l="1"/>
  <c r="CJ20" i="33"/>
  <c r="CK20" i="33" s="1"/>
  <c r="CU17" i="33"/>
  <c r="CV16" i="33"/>
  <c r="CW16" i="33" s="1"/>
  <c r="CY16" i="33" s="1"/>
  <c r="CZ16" i="33" s="1"/>
  <c r="DB16" i="33" s="1"/>
  <c r="DC16" i="33" s="1"/>
  <c r="DE16" i="33" s="1"/>
  <c r="DF16" i="33" s="1"/>
  <c r="DH16" i="33" s="1"/>
  <c r="CS17" i="33"/>
  <c r="CT17" i="33" s="1"/>
  <c r="CR18" i="33"/>
  <c r="CL20" i="33"/>
  <c r="CM19" i="33"/>
  <c r="CN19" i="33" s="1"/>
  <c r="CP18" i="33"/>
  <c r="CQ18" i="33" s="1"/>
  <c r="CO19" i="33"/>
  <c r="CL21" i="33" l="1"/>
  <c r="CM20" i="33"/>
  <c r="CN20" i="33" s="1"/>
  <c r="CV17" i="33"/>
  <c r="CW17" i="33" s="1"/>
  <c r="CY17" i="33" s="1"/>
  <c r="CZ17" i="33" s="1"/>
  <c r="DB17" i="33" s="1"/>
  <c r="DC17" i="33" s="1"/>
  <c r="DE17" i="33" s="1"/>
  <c r="DF17" i="33" s="1"/>
  <c r="DH17" i="33" s="1"/>
  <c r="CU18" i="33"/>
  <c r="CR19" i="33"/>
  <c r="CS18" i="33"/>
  <c r="CT18" i="33" s="1"/>
  <c r="CP19" i="33"/>
  <c r="CQ19" i="33" s="1"/>
  <c r="CO20" i="33"/>
  <c r="CI22" i="33"/>
  <c r="CJ21" i="33"/>
  <c r="CK21" i="33" s="1"/>
  <c r="CO21" i="33" l="1"/>
  <c r="CP20" i="33"/>
  <c r="CQ20" i="33" s="1"/>
  <c r="CV18" i="33"/>
  <c r="CW18" i="33" s="1"/>
  <c r="CY18" i="33" s="1"/>
  <c r="CZ18" i="33" s="1"/>
  <c r="DB18" i="33" s="1"/>
  <c r="DC18" i="33" s="1"/>
  <c r="DE18" i="33" s="1"/>
  <c r="DF18" i="33" s="1"/>
  <c r="DH18" i="33" s="1"/>
  <c r="CU19" i="33"/>
  <c r="CI23" i="33"/>
  <c r="CJ22" i="33"/>
  <c r="CK22" i="33" s="1"/>
  <c r="CR20" i="33"/>
  <c r="CS19" i="33"/>
  <c r="CT19" i="33" s="1"/>
  <c r="CM21" i="33"/>
  <c r="CN21" i="33" s="1"/>
  <c r="CL22" i="33"/>
  <c r="CR21" i="33" l="1"/>
  <c r="CS20" i="33"/>
  <c r="CT20" i="33" s="1"/>
  <c r="CL23" i="33"/>
  <c r="CM22" i="33"/>
  <c r="CN22" i="33" s="1"/>
  <c r="CU20" i="33"/>
  <c r="CV19" i="33"/>
  <c r="CW19" i="33" s="1"/>
  <c r="CY19" i="33" s="1"/>
  <c r="CZ19" i="33" s="1"/>
  <c r="DB19" i="33" s="1"/>
  <c r="DC19" i="33" s="1"/>
  <c r="DE19" i="33" s="1"/>
  <c r="DF19" i="33" s="1"/>
  <c r="DH19" i="33" s="1"/>
  <c r="CJ23" i="33"/>
  <c r="CK23" i="33" s="1"/>
  <c r="CI24" i="33"/>
  <c r="CJ24" i="33" s="1"/>
  <c r="CK24" i="33" s="1"/>
  <c r="CP21" i="33"/>
  <c r="CQ21" i="33" s="1"/>
  <c r="CO22" i="33"/>
  <c r="CM23" i="33" l="1"/>
  <c r="CN23" i="33" s="1"/>
  <c r="CL24" i="33"/>
  <c r="CM24" i="33" s="1"/>
  <c r="CN24" i="33" s="1"/>
  <c r="CP22" i="33"/>
  <c r="CQ22" i="33" s="1"/>
  <c r="CO23" i="33"/>
  <c r="CV20" i="33"/>
  <c r="CW20" i="33" s="1"/>
  <c r="CY20" i="33" s="1"/>
  <c r="CZ20" i="33" s="1"/>
  <c r="DB20" i="33" s="1"/>
  <c r="DC20" i="33" s="1"/>
  <c r="DE20" i="33" s="1"/>
  <c r="DF20" i="33" s="1"/>
  <c r="DH20" i="33" s="1"/>
  <c r="CU21" i="33"/>
  <c r="CR22" i="33"/>
  <c r="CS21" i="33"/>
  <c r="CT21" i="33" s="1"/>
  <c r="CP23" i="33" l="1"/>
  <c r="CQ23" i="33" s="1"/>
  <c r="CO24" i="33"/>
  <c r="CP24" i="33" s="1"/>
  <c r="CQ24" i="33" s="1"/>
  <c r="CR23" i="33"/>
  <c r="CS22" i="33"/>
  <c r="CT22" i="33" s="1"/>
  <c r="CU22" i="33"/>
  <c r="CV21" i="33"/>
  <c r="CW21" i="33" s="1"/>
  <c r="CY21" i="33" s="1"/>
  <c r="CZ21" i="33" s="1"/>
  <c r="DB21" i="33" s="1"/>
  <c r="DC21" i="33" s="1"/>
  <c r="DE21" i="33" s="1"/>
  <c r="DF21" i="33" s="1"/>
  <c r="DH21" i="33" s="1"/>
  <c r="CS23" i="33" l="1"/>
  <c r="CT23" i="33" s="1"/>
  <c r="CR24" i="33"/>
  <c r="CS24" i="33" s="1"/>
  <c r="CT24" i="33" s="1"/>
  <c r="CU23" i="33"/>
  <c r="CV22" i="33"/>
  <c r="CW22" i="33" s="1"/>
  <c r="CY22" i="33" s="1"/>
  <c r="CZ22" i="33" s="1"/>
  <c r="DB22" i="33" s="1"/>
  <c r="DC22" i="33" s="1"/>
  <c r="DE22" i="33" s="1"/>
  <c r="DF22" i="33" s="1"/>
  <c r="DH22" i="33" s="1"/>
  <c r="CV23" i="33" l="1"/>
  <c r="CW23" i="33" s="1"/>
  <c r="CY23" i="33" s="1"/>
  <c r="CZ23" i="33" s="1"/>
  <c r="DB23" i="33" s="1"/>
  <c r="DC23" i="33" s="1"/>
  <c r="DE23" i="33" s="1"/>
  <c r="DF23" i="33" s="1"/>
  <c r="DH23" i="33" s="1"/>
  <c r="CU24" i="33"/>
  <c r="CV24" i="33" s="1"/>
  <c r="CW24" i="33" s="1"/>
  <c r="CY24" i="33" s="1"/>
  <c r="CZ24" i="33" s="1"/>
  <c r="DB24" i="33" s="1"/>
  <c r="DC24" i="33" s="1"/>
  <c r="DE24" i="33" s="1"/>
  <c r="DF24" i="33" s="1"/>
  <c r="DH24" i="3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33" authorId="0" shapeId="0" xr:uid="{25068AA0-BD29-46B1-97A9-B175C0D4CB7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1" authorId="0" shapeId="0" xr:uid="{820FC900-45C0-4702-9ED4-6D078E796B6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<sst xmlns="http://schemas.openxmlformats.org/spreadsheetml/2006/main" count="263" uniqueCount="112">
  <si>
    <t>پایه سنوات</t>
  </si>
  <si>
    <t>جاری</t>
  </si>
  <si>
    <t>گذشته</t>
  </si>
  <si>
    <t>سال</t>
  </si>
  <si>
    <t>شماره گروه</t>
  </si>
  <si>
    <t>درصد افزایش</t>
  </si>
  <si>
    <t>سال كاركرد</t>
  </si>
  <si>
    <t>تعداد ماه های کارکرد سال</t>
  </si>
  <si>
    <t xml:space="preserve">تعداد جمعه های سال </t>
  </si>
  <si>
    <t xml:space="preserve">کل تعطیلات رسمی  سال </t>
  </si>
  <si>
    <t>تعداد ساعات کارکرد موظفی کارگر در سال</t>
  </si>
  <si>
    <t xml:space="preserve">مبلغ حداقل مزد روزانه مصوب شورای عالی کار </t>
  </si>
  <si>
    <t>درصد افزايش</t>
  </si>
  <si>
    <t>پایه سنواتي  گذشته</t>
  </si>
  <si>
    <t>پایه سنواتی جاری</t>
  </si>
  <si>
    <t>مبلغ اضافه كاری یک ساعت</t>
  </si>
  <si>
    <t>مبلغ شب کاری یک ساعت</t>
  </si>
  <si>
    <t>مبلغ جمعه کاری یک روز</t>
  </si>
  <si>
    <t>نوبت کاری ماهیانه</t>
  </si>
  <si>
    <t>بن ماهیانه</t>
  </si>
  <si>
    <t>مسکن ماهیانه</t>
  </si>
  <si>
    <t>حق تاهل</t>
  </si>
  <si>
    <t>فرمول افزایش مزدی</t>
  </si>
  <si>
    <t>شماره و تاریخ بخش نامه حداقل مزد</t>
  </si>
  <si>
    <t>پایه سنوات تجمیعی</t>
  </si>
  <si>
    <t>مجرد</t>
  </si>
  <si>
    <t>متاهل</t>
  </si>
  <si>
    <t>مزد روزانه سال  قبل +170</t>
  </si>
  <si>
    <t>111307-68/12/8</t>
  </si>
  <si>
    <t>مزد روزانه سال  قبل +667</t>
  </si>
  <si>
    <t>75795-69/10/12</t>
  </si>
  <si>
    <t>مزد روزانه سال  قبل +600</t>
  </si>
  <si>
    <t>71277-70/11/27</t>
  </si>
  <si>
    <t>(مزد روزانه سال  قبل *1.1)+500</t>
  </si>
  <si>
    <t>70811-71/11/26</t>
  </si>
  <si>
    <t>(مزد روزانه سال  قبل *1.1)+600</t>
  </si>
  <si>
    <t>76157-72/12/3</t>
  </si>
  <si>
    <t>(مزد روزانه سال  قبل *1.1)+1050</t>
  </si>
  <si>
    <t>70141-73/12/28</t>
  </si>
  <si>
    <t>67867-74/12/23</t>
  </si>
  <si>
    <t>مزد روزانه سال  قبل *1.228</t>
  </si>
  <si>
    <t>81766-75/12/28</t>
  </si>
  <si>
    <t>مزد روزانه سال  قبل *1.185</t>
  </si>
  <si>
    <t>79822-76/12/27</t>
  </si>
  <si>
    <t>مزد روزانه سال  قبل *1.2</t>
  </si>
  <si>
    <t>65947-77/12/24</t>
  </si>
  <si>
    <t>(مزد روزانه سال  قبل *1.1)+2000</t>
  </si>
  <si>
    <t>65037-78/12/25</t>
  </si>
  <si>
    <t>(مزد روزانه سال  قبل *1.05)+2900</t>
  </si>
  <si>
    <t>68982-79/12/21</t>
  </si>
  <si>
    <t>(مزد روزانه سال  قبل *1.045)+3500</t>
  </si>
  <si>
    <t>131514-80/12/22</t>
  </si>
  <si>
    <t>(مزد روزانه سال  قبل *1.05)+4000</t>
  </si>
  <si>
    <t>99472-81/12/28</t>
  </si>
  <si>
    <t>مزد روزانه سال  قبل +7088</t>
  </si>
  <si>
    <t>109009-82/12/27</t>
  </si>
  <si>
    <t>مزد روزانه سال  قبل +5130</t>
  </si>
  <si>
    <t>1883-84/1/17</t>
  </si>
  <si>
    <t>(مزد روزانه سال  قبل *1.1)+5000</t>
  </si>
  <si>
    <t>122267-84/12/15</t>
  </si>
  <si>
    <t>(مزد روزانه سال  قبل *1.1)</t>
  </si>
  <si>
    <t>154053-85/12/20</t>
  </si>
  <si>
    <t>(مزد روزانه سال  قبل *1.05)+9150</t>
  </si>
  <si>
    <t>151655-86/12/25</t>
  </si>
  <si>
    <t>(مزد روزانه سال  قبل *1.05)+10980</t>
  </si>
  <si>
    <t>139841-87/12/27</t>
  </si>
  <si>
    <t>(مزد روزانه سال  قبل *1.07)+7011</t>
  </si>
  <si>
    <t>131535-88/12/23</t>
  </si>
  <si>
    <t>(مزد روزانه سال  قبل *1.06)+3040</t>
  </si>
  <si>
    <t>122518-89/12/23</t>
  </si>
  <si>
    <t>(مزد روزانه سال  قبل *1.07)+12093</t>
  </si>
  <si>
    <t>152327-90/12/24</t>
  </si>
  <si>
    <t>(مزد روزانه سال  قبل *1.1)+19485</t>
  </si>
  <si>
    <t>215210-91/12/22</t>
  </si>
  <si>
    <t>206774-92/12/23</t>
  </si>
  <si>
    <t>(مزد روزانه سال  قبل *1.17)</t>
  </si>
  <si>
    <t>227413-93/12/25</t>
  </si>
  <si>
    <t>(مزد روزانه سال  قبل *1.14)</t>
  </si>
  <si>
    <t>249200-94/12/22</t>
  </si>
  <si>
    <t>(مزد روزانه سال  قبل *1.12)+6768</t>
  </si>
  <si>
    <t>253994-95/12/28</t>
  </si>
  <si>
    <t>(مزد روزانه سال  قبل *1.104)+28208</t>
  </si>
  <si>
    <t>2364-97/1/23</t>
  </si>
  <si>
    <t>(مزد روزانه سال  قبل *1.13)+87049</t>
  </si>
  <si>
    <t>265156-97/12/28</t>
  </si>
  <si>
    <t>(مزد روزانه سال  قبل *1.15)+30338</t>
  </si>
  <si>
    <t>7933-99/1/26-48692-99/3/31</t>
  </si>
  <si>
    <t>(مزد روزانه سال  قبل *1.15)+55338</t>
  </si>
  <si>
    <t>251193-99/12/27</t>
  </si>
  <si>
    <t>(مزد روزانه سال  قبل *1.26)+82785</t>
  </si>
  <si>
    <t>265344-1400/12/22</t>
  </si>
  <si>
    <t>(مزد روزانه سال  قبل *1.38)+171722</t>
  </si>
  <si>
    <t>296137-1401/12/29</t>
  </si>
  <si>
    <t>276716-1402/12/29</t>
  </si>
  <si>
    <t>(مزد روزانه سال  قبل *1.21)+83596</t>
  </si>
  <si>
    <t>231711-1403/12/28</t>
  </si>
  <si>
    <t>(مزد روزانه سال  قبل *1.45)+519549</t>
  </si>
  <si>
    <t>6682-1405/01/31</t>
  </si>
  <si>
    <t>تعداد روزهای سال</t>
  </si>
  <si>
    <t>تعداد تعطيلات رسمی سال</t>
  </si>
  <si>
    <t>صبح وعصر 10%</t>
  </si>
  <si>
    <t>صبح و عصر و شب 15%</t>
  </si>
  <si>
    <t>صبح  و شب یا عصر و شب 22.5%</t>
  </si>
  <si>
    <t>مبلغ حداقل عیدی پاداش ماهیانه</t>
  </si>
  <si>
    <t>مبلغ حداکثر عیدی پاداش  ماهیانه</t>
  </si>
  <si>
    <t xml:space="preserve">مبلغ عائله مندی  یک فرزند واجد شرایط </t>
  </si>
  <si>
    <t>(مزد روزانه سال  قبل *1.22)+230026</t>
  </si>
  <si>
    <t>(مزد روزانه سال  قبل *1.32)+310535</t>
  </si>
  <si>
    <t>(مزد روزانه سال  قبل *1.12)+21110</t>
  </si>
  <si>
    <t>(مزد روزانه سال  قبل *1.07)+1200</t>
  </si>
  <si>
    <t>تجمیعی</t>
  </si>
  <si>
    <t>پایه سنواتی  گذشته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</si>
</sst>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-"/>
    <numFmt numFmtId="165" formatCode="0;[Red]0"/>
    <numFmt numFmtId="166" formatCode="0.000;[Red]0.000"/>
    <numFmt numFmtId="167" formatCode="0.00;[Red]0.00"/>
    <numFmt numFmtId="168" formatCode="0.0;[Red]0.0"/>
  </numFmts>
  <fonts count="17">
    <font>
      <sz val="14"/>
      <name val="B Nazanin"/>
      <charset val="178"/>
    </font>
    <font>
      <b/>
      <sz val="11"/>
      <color indexed="8"/>
      <name val="B Titr"/>
      <charset val="178"/>
    </font>
    <font>
      <b/>
      <sz val="9"/>
      <color indexed="8"/>
      <name val="B Titr"/>
      <charset val="178"/>
    </font>
    <font>
      <b/>
      <sz val="10"/>
      <color indexed="8"/>
      <name val="B Titr"/>
      <charset val="178"/>
    </font>
    <font>
      <sz val="8"/>
      <name val="B Titr"/>
      <charset val="178"/>
    </font>
    <font>
      <sz val="14"/>
      <name val="2  Koodak"/>
      <charset val="178"/>
    </font>
    <font>
      <b/>
      <sz val="14"/>
      <name val="2  Koodak"/>
      <charset val="178"/>
    </font>
    <font>
      <sz val="16"/>
      <name val="2  Jadid"/>
      <charset val="178"/>
    </font>
    <font>
      <b/>
      <sz val="14"/>
      <color theme="1"/>
      <name val="2  Koodak"/>
      <charset val="178"/>
    </font>
    <font>
      <b/>
      <sz val="16"/>
      <color theme="1"/>
      <name val="2  Jadid"/>
      <charset val="17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B Titr"/>
      <charset val="178"/>
    </font>
    <font>
      <sz val="8"/>
      <color theme="1"/>
      <name val="B Titr"/>
      <charset val="178"/>
    </font>
    <font>
      <b/>
      <sz val="11"/>
      <color theme="1"/>
      <name val="B Titr"/>
      <charset val="178"/>
    </font>
    <font>
      <sz val="14"/>
      <color theme="1"/>
      <name val="B Nazanin"/>
      <charset val="178"/>
    </font>
    <font>
      <b/>
      <sz val="9"/>
      <color theme="1"/>
      <name val="B Titr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165" fontId="2" fillId="0" borderId="0" xfId="0" applyNumberFormat="1" applyFont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4" fillId="4" borderId="6" xfId="0" applyNumberFormat="1" applyFont="1" applyFill="1" applyBorder="1" applyAlignment="1">
      <alignment horizontal="center" vertical="center" wrapText="1"/>
    </xf>
    <xf numFmtId="165" fontId="4" fillId="4" borderId="7" xfId="0" applyNumberFormat="1" applyFont="1" applyFill="1" applyBorder="1" applyAlignment="1">
      <alignment horizontal="center" vertical="center" wrapText="1"/>
    </xf>
    <xf numFmtId="165" fontId="4" fillId="4" borderId="5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5" borderId="10" xfId="0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2" fontId="8" fillId="6" borderId="5" xfId="0" applyNumberFormat="1" applyFont="1" applyFill="1" applyBorder="1" applyAlignment="1">
      <alignment horizontal="center" vertical="center"/>
    </xf>
    <xf numFmtId="164" fontId="6" fillId="6" borderId="5" xfId="0" applyNumberFormat="1" applyFont="1" applyFill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6" borderId="24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164" fontId="8" fillId="6" borderId="5" xfId="0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165" fontId="12" fillId="0" borderId="3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165" fontId="13" fillId="4" borderId="7" xfId="0" applyNumberFormat="1" applyFont="1" applyFill="1" applyBorder="1" applyAlignment="1">
      <alignment horizontal="center" vertical="center" wrapText="1"/>
    </xf>
    <xf numFmtId="165" fontId="13" fillId="4" borderId="5" xfId="0" applyNumberFormat="1" applyFont="1" applyFill="1" applyBorder="1" applyAlignment="1">
      <alignment horizontal="center" vertical="center" wrapText="1"/>
    </xf>
    <xf numFmtId="165" fontId="14" fillId="0" borderId="0" xfId="0" applyNumberFormat="1" applyFont="1" applyAlignment="1">
      <alignment horizontal="center" vertical="center"/>
    </xf>
    <xf numFmtId="165" fontId="14" fillId="2" borderId="0" xfId="0" applyNumberFormat="1" applyFont="1" applyFill="1" applyAlignment="1">
      <alignment horizontal="center" vertical="center"/>
    </xf>
    <xf numFmtId="168" fontId="12" fillId="0" borderId="1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5" fontId="12" fillId="0" borderId="8" xfId="0" applyNumberFormat="1" applyFont="1" applyBorder="1" applyAlignment="1">
      <alignment horizontal="center" vertical="center"/>
    </xf>
    <xf numFmtId="168" fontId="12" fillId="0" borderId="2" xfId="0" applyNumberFormat="1" applyFont="1" applyBorder="1" applyAlignment="1">
      <alignment horizontal="center" vertical="center"/>
    </xf>
    <xf numFmtId="167" fontId="13" fillId="0" borderId="9" xfId="0" applyNumberFormat="1" applyFont="1" applyBorder="1" applyAlignment="1">
      <alignment horizontal="center" vertical="center" wrapText="1"/>
    </xf>
    <xf numFmtId="165" fontId="13" fillId="0" borderId="5" xfId="0" applyNumberFormat="1" applyFont="1" applyBorder="1" applyAlignment="1">
      <alignment horizontal="center" vertical="center" wrapText="1"/>
    </xf>
    <xf numFmtId="165" fontId="14" fillId="0" borderId="5" xfId="0" applyNumberFormat="1" applyFont="1" applyBorder="1" applyAlignment="1">
      <alignment horizontal="center" vertical="center"/>
    </xf>
    <xf numFmtId="165" fontId="14" fillId="0" borderId="9" xfId="0" applyNumberFormat="1" applyFont="1" applyBorder="1" applyAlignment="1">
      <alignment horizontal="center" vertical="center"/>
    </xf>
    <xf numFmtId="168" fontId="13" fillId="0" borderId="9" xfId="0" applyNumberFormat="1" applyFont="1" applyBorder="1" applyAlignment="1">
      <alignment horizontal="center" vertical="center" wrapText="1"/>
    </xf>
    <xf numFmtId="166" fontId="13" fillId="0" borderId="9" xfId="0" applyNumberFormat="1" applyFont="1" applyBorder="1" applyAlignment="1">
      <alignment horizontal="center" vertical="center" wrapText="1"/>
    </xf>
    <xf numFmtId="165" fontId="12" fillId="0" borderId="0" xfId="0" applyNumberFormat="1" applyFont="1" applyAlignment="1">
      <alignment horizontal="center" vertical="center"/>
    </xf>
    <xf numFmtId="165" fontId="12" fillId="2" borderId="0" xfId="0" applyNumberFormat="1" applyFont="1" applyFill="1" applyAlignment="1">
      <alignment horizontal="center" vertical="center"/>
    </xf>
    <xf numFmtId="165" fontId="12" fillId="0" borderId="27" xfId="0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 wrapText="1"/>
    </xf>
    <xf numFmtId="165" fontId="16" fillId="2" borderId="0" xfId="0" applyNumberFormat="1" applyFont="1" applyFill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2" fontId="9" fillId="6" borderId="5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165" fontId="12" fillId="0" borderId="8" xfId="0" applyNumberFormat="1" applyFont="1" applyBorder="1" applyAlignment="1">
      <alignment horizontal="center" vertical="center"/>
    </xf>
    <xf numFmtId="165" fontId="12" fillId="0" borderId="11" xfId="0" applyNumberFormat="1" applyFont="1" applyBorder="1" applyAlignment="1">
      <alignment horizontal="center" vertical="center"/>
    </xf>
    <xf numFmtId="165" fontId="12" fillId="0" borderId="12" xfId="0" applyNumberFormat="1" applyFont="1" applyBorder="1" applyAlignment="1">
      <alignment horizontal="center" vertical="center"/>
    </xf>
    <xf numFmtId="165" fontId="12" fillId="0" borderId="13" xfId="0" applyNumberFormat="1" applyFont="1" applyBorder="1" applyAlignment="1">
      <alignment horizontal="center" vertical="center"/>
    </xf>
    <xf numFmtId="165" fontId="13" fillId="4" borderId="8" xfId="0" applyNumberFormat="1" applyFont="1" applyFill="1" applyBorder="1" applyAlignment="1">
      <alignment horizontal="center" vertical="center" wrapText="1"/>
    </xf>
    <xf numFmtId="165" fontId="13" fillId="4" borderId="14" xfId="0" applyNumberFormat="1" applyFont="1" applyFill="1" applyBorder="1" applyAlignment="1">
      <alignment horizontal="center" vertical="center" wrapText="1"/>
    </xf>
    <xf numFmtId="165" fontId="12" fillId="0" borderId="15" xfId="0" applyNumberFormat="1" applyFont="1" applyBorder="1" applyAlignment="1">
      <alignment horizontal="center" vertical="center"/>
    </xf>
    <xf numFmtId="165" fontId="15" fillId="0" borderId="16" xfId="0" applyNumberFormat="1" applyFont="1" applyBorder="1" applyAlignment="1">
      <alignment horizontal="center" vertical="center"/>
    </xf>
    <xf numFmtId="165" fontId="13" fillId="4" borderId="17" xfId="0" applyNumberFormat="1" applyFont="1" applyFill="1" applyBorder="1" applyAlignment="1">
      <alignment horizontal="center" vertical="center" wrapText="1"/>
    </xf>
    <xf numFmtId="165" fontId="2" fillId="3" borderId="18" xfId="0" applyNumberFormat="1" applyFont="1" applyFill="1" applyBorder="1" applyAlignment="1">
      <alignment horizontal="center" vertical="center" wrapText="1"/>
    </xf>
    <xf numFmtId="165" fontId="2" fillId="3" borderId="19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165" fontId="2" fillId="3" borderId="21" xfId="0" applyNumberFormat="1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 wrapText="1"/>
    </xf>
    <xf numFmtId="165" fontId="2" fillId="3" borderId="13" xfId="0" applyNumberFormat="1" applyFont="1" applyFill="1" applyBorder="1" applyAlignment="1">
      <alignment horizontal="center" vertical="center" wrapText="1"/>
    </xf>
    <xf numFmtId="165" fontId="2" fillId="3" borderId="28" xfId="0" applyNumberFormat="1" applyFont="1" applyFill="1" applyBorder="1" applyAlignment="1">
      <alignment horizontal="center" vertical="center" wrapText="1"/>
    </xf>
    <xf numFmtId="165" fontId="2" fillId="3" borderId="20" xfId="0" applyNumberFormat="1" applyFont="1" applyFill="1" applyBorder="1" applyAlignment="1">
      <alignment horizontal="center" vertical="center" wrapText="1"/>
    </xf>
    <xf numFmtId="165" fontId="2" fillId="3" borderId="4" xfId="0" applyNumberFormat="1" applyFont="1" applyFill="1" applyBorder="1" applyAlignment="1">
      <alignment horizontal="center" vertical="center" wrapText="1"/>
    </xf>
    <xf numFmtId="165" fontId="2" fillId="3" borderId="22" xfId="0" applyNumberFormat="1" applyFont="1" applyFill="1" applyBorder="1" applyAlignment="1">
      <alignment horizontal="center" vertical="center" wrapText="1"/>
    </xf>
    <xf numFmtId="165" fontId="2" fillId="3" borderId="23" xfId="0" applyNumberFormat="1" applyFont="1" applyFill="1" applyBorder="1" applyAlignment="1">
      <alignment horizontal="center" vertical="center" wrapText="1"/>
    </xf>
    <xf numFmtId="168" fontId="2" fillId="3" borderId="18" xfId="0" applyNumberFormat="1" applyFont="1" applyFill="1" applyBorder="1" applyAlignment="1">
      <alignment horizontal="center" vertical="center" wrapText="1"/>
    </xf>
    <xf numFmtId="168" fontId="2" fillId="3" borderId="1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FB2F-BC88-43B7-B5AC-FC5BC58FCAEB}">
  <dimension ref="A1:DH348"/>
  <sheetViews>
    <sheetView rightToLeft="1" topLeftCell="C1" zoomScale="114" zoomScaleNormal="85" workbookViewId="0">
      <selection activeCell="E4" sqref="E4"/>
    </sheetView>
  </sheetViews>
  <sheetFormatPr defaultColWidth="14.4609375" defaultRowHeight="17.399999999999999"/>
  <cols>
    <col min="1" max="1" width="14.4609375" style="28" customWidth="1"/>
    <col min="2" max="16384" width="14.4609375" style="22"/>
  </cols>
  <sheetData>
    <row r="1" spans="1:112" s="30" customFormat="1" ht="23.1" customHeight="1">
      <c r="A1" s="29" t="s">
        <v>3</v>
      </c>
      <c r="B1" s="60">
        <v>1369</v>
      </c>
      <c r="C1" s="61"/>
      <c r="D1" s="61"/>
      <c r="E1" s="60">
        <v>1370</v>
      </c>
      <c r="F1" s="61"/>
      <c r="G1" s="61"/>
      <c r="H1" s="60">
        <v>1371</v>
      </c>
      <c r="I1" s="61"/>
      <c r="J1" s="61"/>
      <c r="K1" s="60">
        <v>1372</v>
      </c>
      <c r="L1" s="61"/>
      <c r="M1" s="61"/>
      <c r="N1" s="60">
        <v>1373</v>
      </c>
      <c r="O1" s="61"/>
      <c r="P1" s="61"/>
      <c r="Q1" s="60">
        <v>1374</v>
      </c>
      <c r="R1" s="61"/>
      <c r="S1" s="61"/>
      <c r="T1" s="60">
        <v>1375</v>
      </c>
      <c r="U1" s="61"/>
      <c r="V1" s="61"/>
      <c r="W1" s="60">
        <v>1376</v>
      </c>
      <c r="X1" s="61"/>
      <c r="Y1" s="61"/>
      <c r="Z1" s="60">
        <v>1377</v>
      </c>
      <c r="AA1" s="61"/>
      <c r="AB1" s="61"/>
      <c r="AC1" s="60">
        <v>1378</v>
      </c>
      <c r="AD1" s="61"/>
      <c r="AE1" s="61"/>
      <c r="AF1" s="60">
        <v>1379</v>
      </c>
      <c r="AG1" s="61"/>
      <c r="AH1" s="61"/>
      <c r="AI1" s="60">
        <v>1380</v>
      </c>
      <c r="AJ1" s="61"/>
      <c r="AK1" s="61"/>
      <c r="AL1" s="60">
        <v>1381</v>
      </c>
      <c r="AM1" s="61"/>
      <c r="AN1" s="61"/>
      <c r="AO1" s="60">
        <v>1382</v>
      </c>
      <c r="AP1" s="61"/>
      <c r="AQ1" s="61"/>
      <c r="AR1" s="60">
        <v>1383</v>
      </c>
      <c r="AS1" s="61"/>
      <c r="AT1" s="61"/>
      <c r="AU1" s="60">
        <v>1384</v>
      </c>
      <c r="AV1" s="61"/>
      <c r="AW1" s="61"/>
      <c r="AX1" s="60">
        <v>1385</v>
      </c>
      <c r="AY1" s="61"/>
      <c r="AZ1" s="61"/>
      <c r="BA1" s="60">
        <v>1386</v>
      </c>
      <c r="BB1" s="61"/>
      <c r="BC1" s="61"/>
      <c r="BD1" s="60">
        <v>1387</v>
      </c>
      <c r="BE1" s="61"/>
      <c r="BF1" s="61"/>
      <c r="BG1" s="60">
        <v>1388</v>
      </c>
      <c r="BH1" s="61"/>
      <c r="BI1" s="61"/>
      <c r="BJ1" s="60">
        <v>1389</v>
      </c>
      <c r="BK1" s="61"/>
      <c r="BL1" s="61"/>
      <c r="BM1" s="60">
        <v>1390</v>
      </c>
      <c r="BN1" s="61"/>
      <c r="BO1" s="61"/>
      <c r="BP1" s="60">
        <v>1391</v>
      </c>
      <c r="BQ1" s="61"/>
      <c r="BR1" s="61"/>
      <c r="BS1" s="60">
        <v>1392</v>
      </c>
      <c r="BT1" s="61"/>
      <c r="BU1" s="61"/>
      <c r="BV1" s="60">
        <v>1393</v>
      </c>
      <c r="BW1" s="61"/>
      <c r="BX1" s="61"/>
      <c r="BY1" s="60">
        <v>1394</v>
      </c>
      <c r="BZ1" s="61"/>
      <c r="CA1" s="61"/>
      <c r="CB1" s="60">
        <v>1395</v>
      </c>
      <c r="CC1" s="61"/>
      <c r="CD1" s="61"/>
      <c r="CE1" s="60">
        <v>1396</v>
      </c>
      <c r="CF1" s="61"/>
      <c r="CG1" s="61"/>
      <c r="CH1" s="60">
        <v>1397</v>
      </c>
      <c r="CI1" s="61"/>
      <c r="CJ1" s="61"/>
      <c r="CK1" s="60">
        <v>1398</v>
      </c>
      <c r="CL1" s="61"/>
      <c r="CM1" s="61"/>
      <c r="CN1" s="60">
        <v>1399</v>
      </c>
      <c r="CO1" s="61"/>
      <c r="CP1" s="61"/>
      <c r="CQ1" s="60">
        <v>1400</v>
      </c>
      <c r="CR1" s="61"/>
      <c r="CS1" s="61"/>
      <c r="CT1" s="60">
        <v>1401</v>
      </c>
      <c r="CU1" s="61"/>
      <c r="CV1" s="61"/>
      <c r="CW1" s="60">
        <v>1402</v>
      </c>
      <c r="CX1" s="61"/>
      <c r="CY1" s="61"/>
      <c r="CZ1" s="60">
        <v>1403</v>
      </c>
      <c r="DA1" s="61"/>
      <c r="DB1" s="61"/>
      <c r="DC1" s="60">
        <v>1404</v>
      </c>
      <c r="DD1" s="61"/>
      <c r="DE1" s="61"/>
      <c r="DF1" s="60">
        <v>1405</v>
      </c>
      <c r="DG1" s="61"/>
      <c r="DH1" s="61"/>
    </row>
    <row r="2" spans="1:112" s="32" customFormat="1" ht="31.35" customHeight="1">
      <c r="A2" s="31" t="s">
        <v>5</v>
      </c>
      <c r="B2" s="62">
        <v>1.1399999999999999</v>
      </c>
      <c r="C2" s="62"/>
      <c r="D2" s="62"/>
      <c r="E2" s="62">
        <v>1.1200000000000001</v>
      </c>
      <c r="F2" s="62"/>
      <c r="G2" s="62"/>
      <c r="H2" s="62">
        <v>1.101</v>
      </c>
      <c r="I2" s="62"/>
      <c r="J2" s="62"/>
      <c r="K2" s="62">
        <v>1.1299999999999999</v>
      </c>
      <c r="L2" s="62"/>
      <c r="M2" s="62"/>
      <c r="N2" s="62">
        <v>1.1499999999999999</v>
      </c>
      <c r="O2" s="62"/>
      <c r="P2" s="62"/>
      <c r="Q2" s="62">
        <v>1.26</v>
      </c>
      <c r="R2" s="62"/>
      <c r="S2" s="62"/>
      <c r="T2" s="62">
        <v>1.38</v>
      </c>
      <c r="U2" s="62"/>
      <c r="V2" s="62"/>
      <c r="W2" s="62">
        <v>1.21</v>
      </c>
      <c r="X2" s="62"/>
      <c r="Y2" s="62"/>
      <c r="Z2" s="62">
        <v>1.22</v>
      </c>
      <c r="AA2" s="62"/>
      <c r="AB2" s="62"/>
      <c r="AC2" s="62">
        <v>1.32</v>
      </c>
      <c r="AD2" s="62"/>
      <c r="AE2" s="62"/>
      <c r="AF2" s="62">
        <v>1.45</v>
      </c>
      <c r="AG2" s="62"/>
      <c r="AH2" s="62"/>
      <c r="AI2" s="62">
        <v>1.1200000000000001</v>
      </c>
      <c r="AJ2" s="62"/>
      <c r="AK2" s="62"/>
      <c r="AL2" s="62">
        <v>1.17</v>
      </c>
      <c r="AM2" s="62"/>
      <c r="AN2" s="62"/>
      <c r="AO2" s="62">
        <v>1.1399999999999999</v>
      </c>
      <c r="AP2" s="62"/>
      <c r="AQ2" s="62"/>
      <c r="AR2" s="62">
        <v>1.1200000000000001</v>
      </c>
      <c r="AS2" s="62"/>
      <c r="AT2" s="62"/>
      <c r="AU2" s="62">
        <v>1.101</v>
      </c>
      <c r="AV2" s="62"/>
      <c r="AW2" s="62"/>
      <c r="AX2" s="62">
        <v>1.1299999999999999</v>
      </c>
      <c r="AY2" s="62"/>
      <c r="AZ2" s="62"/>
      <c r="BA2" s="62">
        <v>1.1499999999999999</v>
      </c>
      <c r="BB2" s="62"/>
      <c r="BC2" s="62"/>
      <c r="BD2" s="62">
        <v>1.26</v>
      </c>
      <c r="BE2" s="62"/>
      <c r="BF2" s="62"/>
      <c r="BG2" s="62">
        <v>1.38</v>
      </c>
      <c r="BH2" s="62"/>
      <c r="BI2" s="62"/>
      <c r="BJ2" s="62">
        <v>1.21</v>
      </c>
      <c r="BK2" s="62"/>
      <c r="BL2" s="62"/>
      <c r="BM2" s="62">
        <v>1.22</v>
      </c>
      <c r="BN2" s="62"/>
      <c r="BO2" s="62"/>
      <c r="BP2" s="62">
        <v>1.1000000000000001</v>
      </c>
      <c r="BQ2" s="62"/>
      <c r="BR2" s="62"/>
      <c r="BS2" s="62">
        <v>1.1000000000000001</v>
      </c>
      <c r="BT2" s="62"/>
      <c r="BU2" s="62"/>
      <c r="BV2" s="62">
        <v>1.1200000000000001</v>
      </c>
      <c r="BW2" s="62"/>
      <c r="BX2" s="62"/>
      <c r="BY2" s="62">
        <v>1.17</v>
      </c>
      <c r="BZ2" s="62"/>
      <c r="CA2" s="62"/>
      <c r="CB2" s="62">
        <v>1.1399999999999999</v>
      </c>
      <c r="CC2" s="62"/>
      <c r="CD2" s="62"/>
      <c r="CE2" s="62">
        <v>1.1200000000000001</v>
      </c>
      <c r="CF2" s="62"/>
      <c r="CG2" s="62"/>
      <c r="CH2" s="62">
        <v>1.101</v>
      </c>
      <c r="CI2" s="62"/>
      <c r="CJ2" s="62"/>
      <c r="CK2" s="62">
        <v>1.1299999999999999</v>
      </c>
      <c r="CL2" s="62"/>
      <c r="CM2" s="62"/>
      <c r="CN2" s="62">
        <v>1.1499999999999999</v>
      </c>
      <c r="CO2" s="62"/>
      <c r="CP2" s="62"/>
      <c r="CQ2" s="62">
        <v>1.26</v>
      </c>
      <c r="CR2" s="62"/>
      <c r="CS2" s="62"/>
      <c r="CT2" s="62">
        <v>1.38</v>
      </c>
      <c r="CU2" s="62"/>
      <c r="CV2" s="62"/>
      <c r="CW2" s="62">
        <v>1.21</v>
      </c>
      <c r="CX2" s="62"/>
      <c r="CY2" s="62"/>
      <c r="CZ2" s="62">
        <v>1.22</v>
      </c>
      <c r="DA2" s="62"/>
      <c r="DB2" s="62"/>
      <c r="DC2" s="62">
        <v>1.32</v>
      </c>
      <c r="DD2" s="62"/>
      <c r="DE2" s="62"/>
      <c r="DF2" s="62">
        <v>1.45</v>
      </c>
      <c r="DG2" s="62"/>
      <c r="DH2" s="62"/>
    </row>
    <row r="3" spans="1:112" s="32" customFormat="1" ht="40.799999999999997" customHeight="1">
      <c r="A3" s="31"/>
      <c r="B3" s="62" t="s">
        <v>0</v>
      </c>
      <c r="C3" s="63"/>
      <c r="D3" s="63"/>
      <c r="E3" s="62" t="s">
        <v>0</v>
      </c>
      <c r="F3" s="63"/>
      <c r="G3" s="63"/>
      <c r="H3" s="62" t="s">
        <v>0</v>
      </c>
      <c r="I3" s="63"/>
      <c r="J3" s="63"/>
      <c r="K3" s="62" t="s">
        <v>0</v>
      </c>
      <c r="L3" s="63"/>
      <c r="M3" s="63"/>
      <c r="N3" s="62" t="s">
        <v>0</v>
      </c>
      <c r="O3" s="63"/>
      <c r="P3" s="63"/>
      <c r="Q3" s="62" t="s">
        <v>0</v>
      </c>
      <c r="R3" s="63"/>
      <c r="S3" s="63"/>
      <c r="T3" s="62" t="s">
        <v>0</v>
      </c>
      <c r="U3" s="63"/>
      <c r="V3" s="63"/>
      <c r="W3" s="62" t="s">
        <v>0</v>
      </c>
      <c r="X3" s="63"/>
      <c r="Y3" s="63"/>
      <c r="Z3" s="62" t="s">
        <v>0</v>
      </c>
      <c r="AA3" s="63"/>
      <c r="AB3" s="63"/>
      <c r="AC3" s="62" t="s">
        <v>0</v>
      </c>
      <c r="AD3" s="63"/>
      <c r="AE3" s="63"/>
      <c r="AF3" s="62" t="s">
        <v>0</v>
      </c>
      <c r="AG3" s="63"/>
      <c r="AH3" s="63"/>
      <c r="AI3" s="62" t="s">
        <v>0</v>
      </c>
      <c r="AJ3" s="63"/>
      <c r="AK3" s="63"/>
      <c r="AL3" s="62" t="s">
        <v>0</v>
      </c>
      <c r="AM3" s="63"/>
      <c r="AN3" s="63"/>
      <c r="AO3" s="62" t="s">
        <v>0</v>
      </c>
      <c r="AP3" s="63"/>
      <c r="AQ3" s="63"/>
      <c r="AR3" s="62" t="s">
        <v>0</v>
      </c>
      <c r="AS3" s="63"/>
      <c r="AT3" s="63"/>
      <c r="AU3" s="62" t="s">
        <v>0</v>
      </c>
      <c r="AV3" s="63"/>
      <c r="AW3" s="63"/>
      <c r="AX3" s="62" t="s">
        <v>0</v>
      </c>
      <c r="AY3" s="63"/>
      <c r="AZ3" s="63"/>
      <c r="BA3" s="62" t="s">
        <v>0</v>
      </c>
      <c r="BB3" s="63"/>
      <c r="BC3" s="63"/>
      <c r="BD3" s="62" t="s">
        <v>0</v>
      </c>
      <c r="BE3" s="63"/>
      <c r="BF3" s="63"/>
      <c r="BG3" s="62" t="s">
        <v>0</v>
      </c>
      <c r="BH3" s="63"/>
      <c r="BI3" s="63"/>
      <c r="BJ3" s="62" t="s">
        <v>0</v>
      </c>
      <c r="BK3" s="63"/>
      <c r="BL3" s="63"/>
      <c r="BM3" s="62" t="s">
        <v>0</v>
      </c>
      <c r="BN3" s="63"/>
      <c r="BO3" s="63"/>
      <c r="BP3" s="62" t="s">
        <v>0</v>
      </c>
      <c r="BQ3" s="63"/>
      <c r="BR3" s="63"/>
      <c r="BS3" s="62" t="s">
        <v>0</v>
      </c>
      <c r="BT3" s="63"/>
      <c r="BU3" s="63"/>
      <c r="BV3" s="62" t="s">
        <v>0</v>
      </c>
      <c r="BW3" s="63"/>
      <c r="BX3" s="63"/>
      <c r="BY3" s="62" t="s">
        <v>0</v>
      </c>
      <c r="BZ3" s="63"/>
      <c r="CA3" s="63"/>
      <c r="CB3" s="62" t="s">
        <v>0</v>
      </c>
      <c r="CC3" s="63"/>
      <c r="CD3" s="63"/>
      <c r="CE3" s="62" t="s">
        <v>0</v>
      </c>
      <c r="CF3" s="63"/>
      <c r="CG3" s="63"/>
      <c r="CH3" s="62" t="s">
        <v>0</v>
      </c>
      <c r="CI3" s="63"/>
      <c r="CJ3" s="63"/>
      <c r="CK3" s="62" t="s">
        <v>0</v>
      </c>
      <c r="CL3" s="63"/>
      <c r="CM3" s="63"/>
      <c r="CN3" s="62" t="s">
        <v>0</v>
      </c>
      <c r="CO3" s="63"/>
      <c r="CP3" s="63"/>
      <c r="CQ3" s="62" t="s">
        <v>0</v>
      </c>
      <c r="CR3" s="63"/>
      <c r="CS3" s="63"/>
      <c r="CT3" s="62" t="s">
        <v>0</v>
      </c>
      <c r="CU3" s="63"/>
      <c r="CV3" s="63"/>
      <c r="CW3" s="62" t="s">
        <v>0</v>
      </c>
      <c r="CX3" s="63"/>
      <c r="CY3" s="63"/>
      <c r="CZ3" s="62" t="s">
        <v>0</v>
      </c>
      <c r="DA3" s="63"/>
      <c r="DB3" s="63"/>
      <c r="DC3" s="62" t="s">
        <v>0</v>
      </c>
      <c r="DD3" s="63"/>
      <c r="DE3" s="63"/>
      <c r="DF3" s="62" t="s">
        <v>0</v>
      </c>
      <c r="DG3" s="63"/>
      <c r="DH3" s="63"/>
    </row>
    <row r="4" spans="1:112" s="18" customFormat="1" ht="40.799999999999997" customHeight="1">
      <c r="A4" s="23" t="s">
        <v>4</v>
      </c>
      <c r="B4" s="19" t="s">
        <v>2</v>
      </c>
      <c r="C4" s="19" t="s">
        <v>1</v>
      </c>
      <c r="D4" s="19" t="s">
        <v>110</v>
      </c>
      <c r="E4" s="19" t="s">
        <v>2</v>
      </c>
      <c r="F4" s="19" t="s">
        <v>1</v>
      </c>
      <c r="G4" s="19" t="s">
        <v>110</v>
      </c>
      <c r="H4" s="19" t="s">
        <v>2</v>
      </c>
      <c r="I4" s="19" t="s">
        <v>1</v>
      </c>
      <c r="J4" s="19" t="s">
        <v>110</v>
      </c>
      <c r="K4" s="19" t="s">
        <v>2</v>
      </c>
      <c r="L4" s="19" t="s">
        <v>1</v>
      </c>
      <c r="M4" s="19" t="s">
        <v>110</v>
      </c>
      <c r="N4" s="19" t="s">
        <v>2</v>
      </c>
      <c r="O4" s="19" t="s">
        <v>1</v>
      </c>
      <c r="P4" s="19" t="s">
        <v>110</v>
      </c>
      <c r="Q4" s="19" t="s">
        <v>2</v>
      </c>
      <c r="R4" s="19" t="s">
        <v>1</v>
      </c>
      <c r="S4" s="19" t="s">
        <v>110</v>
      </c>
      <c r="T4" s="19" t="s">
        <v>2</v>
      </c>
      <c r="U4" s="19" t="s">
        <v>1</v>
      </c>
      <c r="V4" s="19" t="s">
        <v>110</v>
      </c>
      <c r="W4" s="19" t="s">
        <v>2</v>
      </c>
      <c r="X4" s="19" t="s">
        <v>1</v>
      </c>
      <c r="Y4" s="19" t="s">
        <v>110</v>
      </c>
      <c r="Z4" s="19" t="s">
        <v>2</v>
      </c>
      <c r="AA4" s="19" t="s">
        <v>1</v>
      </c>
      <c r="AB4" s="19" t="s">
        <v>110</v>
      </c>
      <c r="AC4" s="19" t="s">
        <v>2</v>
      </c>
      <c r="AD4" s="19" t="s">
        <v>1</v>
      </c>
      <c r="AE4" s="19" t="s">
        <v>110</v>
      </c>
      <c r="AF4" s="19" t="s">
        <v>2</v>
      </c>
      <c r="AG4" s="19" t="s">
        <v>1</v>
      </c>
      <c r="AH4" s="19" t="s">
        <v>110</v>
      </c>
      <c r="AI4" s="19" t="s">
        <v>2</v>
      </c>
      <c r="AJ4" s="19" t="s">
        <v>1</v>
      </c>
      <c r="AK4" s="19" t="s">
        <v>110</v>
      </c>
      <c r="AL4" s="19" t="s">
        <v>2</v>
      </c>
      <c r="AM4" s="19" t="s">
        <v>1</v>
      </c>
      <c r="AN4" s="19" t="s">
        <v>110</v>
      </c>
      <c r="AO4" s="19" t="s">
        <v>2</v>
      </c>
      <c r="AP4" s="19" t="s">
        <v>1</v>
      </c>
      <c r="AQ4" s="19" t="s">
        <v>110</v>
      </c>
      <c r="AR4" s="19" t="s">
        <v>2</v>
      </c>
      <c r="AS4" s="19" t="s">
        <v>1</v>
      </c>
      <c r="AT4" s="19" t="s">
        <v>110</v>
      </c>
      <c r="AU4" s="19" t="s">
        <v>2</v>
      </c>
      <c r="AV4" s="19" t="s">
        <v>1</v>
      </c>
      <c r="AW4" s="19" t="s">
        <v>110</v>
      </c>
      <c r="AX4" s="19" t="s">
        <v>2</v>
      </c>
      <c r="AY4" s="19" t="s">
        <v>1</v>
      </c>
      <c r="AZ4" s="19" t="s">
        <v>110</v>
      </c>
      <c r="BA4" s="19" t="s">
        <v>2</v>
      </c>
      <c r="BB4" s="19" t="s">
        <v>1</v>
      </c>
      <c r="BC4" s="19" t="s">
        <v>110</v>
      </c>
      <c r="BD4" s="19" t="s">
        <v>2</v>
      </c>
      <c r="BE4" s="19" t="s">
        <v>1</v>
      </c>
      <c r="BF4" s="19" t="s">
        <v>110</v>
      </c>
      <c r="BG4" s="19" t="s">
        <v>2</v>
      </c>
      <c r="BH4" s="19" t="s">
        <v>1</v>
      </c>
      <c r="BI4" s="19" t="s">
        <v>110</v>
      </c>
      <c r="BJ4" s="19" t="s">
        <v>2</v>
      </c>
      <c r="BK4" s="19" t="s">
        <v>1</v>
      </c>
      <c r="BL4" s="19" t="s">
        <v>110</v>
      </c>
      <c r="BM4" s="19" t="s">
        <v>2</v>
      </c>
      <c r="BN4" s="19" t="s">
        <v>1</v>
      </c>
      <c r="BO4" s="19" t="s">
        <v>110</v>
      </c>
      <c r="BP4" s="19" t="s">
        <v>2</v>
      </c>
      <c r="BQ4" s="19" t="s">
        <v>1</v>
      </c>
      <c r="BR4" s="19" t="s">
        <v>110</v>
      </c>
      <c r="BS4" s="19" t="s">
        <v>2</v>
      </c>
      <c r="BT4" s="19" t="s">
        <v>1</v>
      </c>
      <c r="BU4" s="19" t="s">
        <v>110</v>
      </c>
      <c r="BV4" s="19" t="s">
        <v>2</v>
      </c>
      <c r="BW4" s="19" t="s">
        <v>1</v>
      </c>
      <c r="BX4" s="19" t="s">
        <v>110</v>
      </c>
      <c r="BY4" s="19" t="s">
        <v>2</v>
      </c>
      <c r="BZ4" s="19" t="s">
        <v>1</v>
      </c>
      <c r="CA4" s="19" t="s">
        <v>110</v>
      </c>
      <c r="CB4" s="19" t="s">
        <v>2</v>
      </c>
      <c r="CC4" s="19" t="s">
        <v>1</v>
      </c>
      <c r="CD4" s="19" t="s">
        <v>110</v>
      </c>
      <c r="CE4" s="19" t="s">
        <v>2</v>
      </c>
      <c r="CF4" s="19" t="s">
        <v>1</v>
      </c>
      <c r="CG4" s="19" t="s">
        <v>110</v>
      </c>
      <c r="CH4" s="19" t="s">
        <v>2</v>
      </c>
      <c r="CI4" s="19" t="s">
        <v>1</v>
      </c>
      <c r="CJ4" s="19" t="s">
        <v>110</v>
      </c>
      <c r="CK4" s="19" t="s">
        <v>2</v>
      </c>
      <c r="CL4" s="19" t="s">
        <v>1</v>
      </c>
      <c r="CM4" s="19" t="s">
        <v>110</v>
      </c>
      <c r="CN4" s="19" t="s">
        <v>2</v>
      </c>
      <c r="CO4" s="19" t="s">
        <v>1</v>
      </c>
      <c r="CP4" s="19" t="s">
        <v>110</v>
      </c>
      <c r="CQ4" s="19" t="s">
        <v>2</v>
      </c>
      <c r="CR4" s="19" t="s">
        <v>1</v>
      </c>
      <c r="CS4" s="19" t="s">
        <v>110</v>
      </c>
      <c r="CT4" s="19" t="s">
        <v>2</v>
      </c>
      <c r="CU4" s="19" t="s">
        <v>1</v>
      </c>
      <c r="CV4" s="19" t="s">
        <v>110</v>
      </c>
      <c r="CW4" s="19" t="s">
        <v>2</v>
      </c>
      <c r="CX4" s="19" t="s">
        <v>1</v>
      </c>
      <c r="CY4" s="19" t="s">
        <v>110</v>
      </c>
      <c r="CZ4" s="19" t="s">
        <v>2</v>
      </c>
      <c r="DA4" s="19" t="s">
        <v>1</v>
      </c>
      <c r="DB4" s="19" t="s">
        <v>110</v>
      </c>
      <c r="DC4" s="19" t="s">
        <v>2</v>
      </c>
      <c r="DD4" s="19" t="s">
        <v>1</v>
      </c>
      <c r="DE4" s="19" t="s">
        <v>110</v>
      </c>
      <c r="DF4" s="19" t="s">
        <v>2</v>
      </c>
      <c r="DG4" s="19" t="s">
        <v>1</v>
      </c>
      <c r="DH4" s="19" t="s">
        <v>110</v>
      </c>
    </row>
    <row r="5" spans="1:112" s="26" customFormat="1" ht="27" customHeight="1">
      <c r="A5" s="24">
        <v>1</v>
      </c>
      <c r="B5" s="20">
        <v>0</v>
      </c>
      <c r="C5" s="20">
        <v>69</v>
      </c>
      <c r="D5" s="20">
        <f>C5+B5</f>
        <v>69</v>
      </c>
      <c r="E5" s="20">
        <f>D5*1.12</f>
        <v>77.28</v>
      </c>
      <c r="F5" s="20">
        <v>60</v>
      </c>
      <c r="G5" s="20">
        <f>F5+E5</f>
        <v>137.28</v>
      </c>
      <c r="H5" s="20">
        <f>G5*1.1</f>
        <v>151.00800000000001</v>
      </c>
      <c r="I5" s="20">
        <v>61</v>
      </c>
      <c r="J5" s="20">
        <f>I5+H5</f>
        <v>212.00800000000001</v>
      </c>
      <c r="K5" s="20">
        <f>J5*1.13</f>
        <v>239.56904</v>
      </c>
      <c r="L5" s="20">
        <v>62</v>
      </c>
      <c r="M5" s="20">
        <f>L5+K5</f>
        <v>301.56903999999997</v>
      </c>
      <c r="N5" s="20">
        <f>M5*1.15</f>
        <v>346.80439599999994</v>
      </c>
      <c r="O5" s="20">
        <v>63</v>
      </c>
      <c r="P5" s="20">
        <f>O5+N5</f>
        <v>409.80439599999994</v>
      </c>
      <c r="Q5" s="20">
        <f>P5*1.26</f>
        <v>516.35353895999992</v>
      </c>
      <c r="R5" s="20">
        <v>64</v>
      </c>
      <c r="S5" s="20">
        <f>R5+Q5</f>
        <v>580.35353895999992</v>
      </c>
      <c r="T5" s="20">
        <f>S5*1.38</f>
        <v>800.88788376479988</v>
      </c>
      <c r="U5" s="20">
        <v>65</v>
      </c>
      <c r="V5" s="20">
        <f>U5+T5</f>
        <v>865.88788376479988</v>
      </c>
      <c r="W5" s="20">
        <f>V5*1.21</f>
        <v>1047.7243393554079</v>
      </c>
      <c r="X5" s="20">
        <v>66</v>
      </c>
      <c r="Y5" s="20">
        <f>X5+W5</f>
        <v>1113.7243393554079</v>
      </c>
      <c r="Z5" s="20">
        <f>Y5*1.22</f>
        <v>1358.7436940135976</v>
      </c>
      <c r="AA5" s="20">
        <v>67</v>
      </c>
      <c r="AB5" s="20">
        <f>AA5+Z5</f>
        <v>1425.7436940135976</v>
      </c>
      <c r="AC5" s="20">
        <f>AB5*1.32</f>
        <v>1881.981676097949</v>
      </c>
      <c r="AD5" s="20">
        <v>68</v>
      </c>
      <c r="AE5" s="20">
        <f>AD5+AC5</f>
        <v>1949.981676097949</v>
      </c>
      <c r="AF5" s="20">
        <f>AE5*1.45</f>
        <v>2827.4734303420259</v>
      </c>
      <c r="AG5" s="20">
        <v>69</v>
      </c>
      <c r="AH5" s="20">
        <f>AG5+AF5</f>
        <v>2896.4734303420259</v>
      </c>
      <c r="AI5" s="20">
        <f>AH5*1.12</f>
        <v>3244.0502419830696</v>
      </c>
      <c r="AJ5" s="20">
        <v>70</v>
      </c>
      <c r="AK5" s="20">
        <f>AJ5+AI5</f>
        <v>3314.0502419830696</v>
      </c>
      <c r="AL5" s="20">
        <f>AK5*1.17</f>
        <v>3877.4387831201911</v>
      </c>
      <c r="AM5" s="20">
        <v>71</v>
      </c>
      <c r="AN5" s="20">
        <f>AM5+AL5</f>
        <v>3948.4387831201911</v>
      </c>
      <c r="AO5" s="20">
        <f>AN5*1.14</f>
        <v>4501.2202127570172</v>
      </c>
      <c r="AP5" s="20">
        <v>72</v>
      </c>
      <c r="AQ5" s="20">
        <f>AP5+AO5</f>
        <v>4573.2202127570172</v>
      </c>
      <c r="AR5" s="20">
        <f>AQ5*1.12</f>
        <v>5122.0066382878595</v>
      </c>
      <c r="AS5" s="20">
        <v>73</v>
      </c>
      <c r="AT5" s="20">
        <f>AS5+AR5</f>
        <v>5195.0066382878595</v>
      </c>
      <c r="AU5" s="20">
        <f>AT5*1.1</f>
        <v>5714.5073021166463</v>
      </c>
      <c r="AV5" s="20">
        <v>74</v>
      </c>
      <c r="AW5" s="20">
        <f>AV5+AU5</f>
        <v>5788.5073021166463</v>
      </c>
      <c r="AX5" s="20">
        <f>AW5*1.13</f>
        <v>6541.0132513918097</v>
      </c>
      <c r="AY5" s="20">
        <v>75</v>
      </c>
      <c r="AZ5" s="20">
        <f>AY5+AX5</f>
        <v>6616.0132513918097</v>
      </c>
      <c r="BA5" s="20">
        <f>AZ5*1.15</f>
        <v>7608.4152391005809</v>
      </c>
      <c r="BB5" s="20">
        <v>76</v>
      </c>
      <c r="BC5" s="20">
        <f>BB5+BA5</f>
        <v>7684.4152391005809</v>
      </c>
      <c r="BD5" s="20">
        <f>BC5*1.26</f>
        <v>9682.3632012667313</v>
      </c>
      <c r="BE5" s="20">
        <v>77</v>
      </c>
      <c r="BF5" s="20">
        <f>BE5+BD5</f>
        <v>9759.3632012667313</v>
      </c>
      <c r="BG5" s="20">
        <f>BF5*1.38</f>
        <v>13467.921217748088</v>
      </c>
      <c r="BH5" s="20">
        <v>78</v>
      </c>
      <c r="BI5" s="20">
        <f>BH5+BG5</f>
        <v>13545.921217748088</v>
      </c>
      <c r="BJ5" s="20">
        <f>BI5*1.21</f>
        <v>16390.564673475186</v>
      </c>
      <c r="BK5" s="20">
        <v>79</v>
      </c>
      <c r="BL5" s="20">
        <f>BK5+BJ5</f>
        <v>16469.564673475186</v>
      </c>
      <c r="BM5" s="20">
        <f>BL5*1.22</f>
        <v>20092.868901639726</v>
      </c>
      <c r="BN5" s="20">
        <v>80</v>
      </c>
      <c r="BO5" s="20">
        <f>BN5+BM5</f>
        <v>20172.868901639726</v>
      </c>
      <c r="BP5" s="20">
        <f>BO5*1.1</f>
        <v>22190.1557918037</v>
      </c>
      <c r="BQ5" s="20">
        <v>81</v>
      </c>
      <c r="BR5" s="20">
        <f>BQ5+BP5</f>
        <v>22271.1557918037</v>
      </c>
      <c r="BS5" s="20">
        <f>BR5*1.1</f>
        <v>24498.271370984072</v>
      </c>
      <c r="BT5" s="20">
        <v>3000</v>
      </c>
      <c r="BU5" s="20">
        <f>(BS5+BT5)</f>
        <v>27498.271370984072</v>
      </c>
      <c r="BV5" s="20">
        <f>BU5*1.12</f>
        <v>30798.063935502163</v>
      </c>
      <c r="BW5" s="20">
        <v>5000</v>
      </c>
      <c r="BX5" s="20">
        <f>BV5+BW5</f>
        <v>35798.063935502163</v>
      </c>
      <c r="BY5" s="20">
        <f>BX5*1.17</f>
        <v>41883.734804537526</v>
      </c>
      <c r="BZ5" s="20">
        <v>10000</v>
      </c>
      <c r="CA5" s="20">
        <f>BY5+BZ5</f>
        <v>51883.734804537526</v>
      </c>
      <c r="CB5" s="20">
        <f>CA5*1.14</f>
        <v>59147.457677172773</v>
      </c>
      <c r="CC5" s="20">
        <v>10000</v>
      </c>
      <c r="CD5" s="20">
        <f>CB5+CC5</f>
        <v>69147.457677172773</v>
      </c>
      <c r="CE5" s="20">
        <f>CD5*1.12</f>
        <v>77445.152598433517</v>
      </c>
      <c r="CF5" s="20">
        <f>CE5+CD5</f>
        <v>146592.61027560628</v>
      </c>
      <c r="CG5" s="20">
        <f>CF5+CE5</f>
        <v>224037.76287403979</v>
      </c>
      <c r="CH5" s="20">
        <f>CG5*1.1</f>
        <v>246441.5391614438</v>
      </c>
      <c r="CI5" s="20">
        <f>CH5+CG5</f>
        <v>470479.30203548359</v>
      </c>
      <c r="CJ5" s="20">
        <f>CI5+CH5</f>
        <v>716920.84119692736</v>
      </c>
      <c r="CK5" s="20">
        <f>CJ5*1.13</f>
        <v>810120.55055252789</v>
      </c>
      <c r="CL5" s="20">
        <f>CK5+CJ5</f>
        <v>1527041.3917494551</v>
      </c>
      <c r="CM5" s="20">
        <f>CL5+CK5</f>
        <v>2337161.942301983</v>
      </c>
      <c r="CN5" s="20">
        <f>CM5*1.15</f>
        <v>2687736.2336472804</v>
      </c>
      <c r="CO5" s="20">
        <f>CN5+CM5</f>
        <v>5024898.1759492634</v>
      </c>
      <c r="CP5" s="20">
        <f>CO5+CN5</f>
        <v>7712634.4095965438</v>
      </c>
      <c r="CQ5" s="20">
        <f>CP5*1.26</f>
        <v>9717919.3560916446</v>
      </c>
      <c r="CR5" s="20">
        <f>CQ5+CP5</f>
        <v>17430553.765688188</v>
      </c>
      <c r="CS5" s="20">
        <f>CR5+CQ5</f>
        <v>27148473.121779833</v>
      </c>
      <c r="CT5" s="20">
        <f>CS5*1.38</f>
        <v>37464892.90805617</v>
      </c>
      <c r="CU5" s="20">
        <f>CT5+CS5</f>
        <v>64613366.029835999</v>
      </c>
      <c r="CV5" s="20">
        <f>CU5+CT5</f>
        <v>102078258.93789217</v>
      </c>
      <c r="CW5" s="20">
        <f>CV5*1.21</f>
        <v>123514693.31484953</v>
      </c>
      <c r="CX5" s="20">
        <v>70000</v>
      </c>
      <c r="CY5" s="20">
        <f>CX5+CW5</f>
        <v>123584693.31484953</v>
      </c>
      <c r="CZ5" s="20">
        <f>CY5*1.22</f>
        <v>150773325.84411642</v>
      </c>
      <c r="DA5" s="20">
        <v>70000</v>
      </c>
      <c r="DB5" s="20">
        <f>DA5+CZ5</f>
        <v>150843325.84411642</v>
      </c>
      <c r="DC5" s="20">
        <f>DB5*1.32</f>
        <v>199113190.11423367</v>
      </c>
      <c r="DD5" s="20">
        <v>94000</v>
      </c>
      <c r="DE5" s="20">
        <f>DD5+DC5</f>
        <v>199207190.11423367</v>
      </c>
      <c r="DF5" s="20">
        <f>DE5*1.45</f>
        <v>288850425.6656388</v>
      </c>
      <c r="DG5" s="20">
        <v>166667</v>
      </c>
      <c r="DH5" s="20">
        <f>DG5+DF5</f>
        <v>289017092.6656388</v>
      </c>
    </row>
    <row r="6" spans="1:112">
      <c r="A6" s="25">
        <v>2</v>
      </c>
      <c r="B6" s="20">
        <v>0</v>
      </c>
      <c r="C6" s="21">
        <v>65</v>
      </c>
      <c r="D6" s="20">
        <f t="shared" ref="D6:D24" si="0">C6+B6</f>
        <v>65</v>
      </c>
      <c r="E6" s="20">
        <f t="shared" ref="E6:E24" si="1">D6*1.12</f>
        <v>72.800000000000011</v>
      </c>
      <c r="F6" s="21">
        <v>65</v>
      </c>
      <c r="G6" s="20">
        <f t="shared" ref="G6:G24" si="2">F6+E6</f>
        <v>137.80000000000001</v>
      </c>
      <c r="H6" s="20">
        <f t="shared" ref="H6:H24" si="3">G6*1.1</f>
        <v>151.58000000000001</v>
      </c>
      <c r="I6" s="21">
        <v>65</v>
      </c>
      <c r="J6" s="20">
        <f t="shared" ref="J6:J24" si="4">I6+H6</f>
        <v>216.58</v>
      </c>
      <c r="K6" s="20">
        <f t="shared" ref="K6:K24" si="5">J6*1.13</f>
        <v>244.7354</v>
      </c>
      <c r="L6" s="21">
        <v>65</v>
      </c>
      <c r="M6" s="20">
        <f t="shared" ref="M6:M24" si="6">L6+K6</f>
        <v>309.73540000000003</v>
      </c>
      <c r="N6" s="20">
        <f t="shared" ref="N6:N24" si="7">M6*1.15</f>
        <v>356.19571000000002</v>
      </c>
      <c r="O6" s="21">
        <v>85</v>
      </c>
      <c r="P6" s="20">
        <f t="shared" ref="P6:P23" si="8">O6+N6</f>
        <v>441.19571000000002</v>
      </c>
      <c r="Q6" s="20">
        <f t="shared" ref="Q6:Q24" si="9">P6*1.26</f>
        <v>555.90659460000006</v>
      </c>
      <c r="R6" s="21">
        <v>105</v>
      </c>
      <c r="S6" s="20">
        <f t="shared" ref="S6:S24" si="10">R6+Q6</f>
        <v>660.90659460000006</v>
      </c>
      <c r="T6" s="20">
        <f t="shared" ref="T6:T24" si="11">S6*1.38</f>
        <v>912.05110054800002</v>
      </c>
      <c r="U6" s="20">
        <v>66</v>
      </c>
      <c r="V6" s="20">
        <f t="shared" ref="V6:V24" si="12">U6+T6</f>
        <v>978.05110054800002</v>
      </c>
      <c r="W6" s="20">
        <f t="shared" ref="W6:W24" si="13">V6*1.21</f>
        <v>1183.4418316630799</v>
      </c>
      <c r="X6" s="21">
        <v>130</v>
      </c>
      <c r="Y6" s="20">
        <f t="shared" ref="Y6:Y24" si="14">X6+W6</f>
        <v>1313.4418316630799</v>
      </c>
      <c r="Z6" s="20">
        <f t="shared" ref="Z6:Z24" si="15">Y6*1.22</f>
        <v>1602.3990346289575</v>
      </c>
      <c r="AA6" s="21">
        <v>155</v>
      </c>
      <c r="AB6" s="20">
        <f t="shared" ref="AB6:AB24" si="16">AA6+Z6</f>
        <v>1757.3990346289575</v>
      </c>
      <c r="AC6" s="20">
        <f t="shared" ref="AC6:AC24" si="17">AB6*1.32</f>
        <v>2319.7667257102239</v>
      </c>
      <c r="AD6" s="21">
        <v>215</v>
      </c>
      <c r="AE6" s="20">
        <f t="shared" ref="AE6:AE24" si="18">AD6+AC6</f>
        <v>2534.7667257102239</v>
      </c>
      <c r="AF6" s="20">
        <f t="shared" ref="AF6:AF24" si="19">AE6*1.45</f>
        <v>3675.4117522798247</v>
      </c>
      <c r="AG6" s="21">
        <v>385</v>
      </c>
      <c r="AH6" s="20">
        <f t="shared" ref="AH6:AH24" si="20">AG6+AF6</f>
        <v>4060.4117522798247</v>
      </c>
      <c r="AI6" s="20">
        <f t="shared" ref="AI6:AI24" si="21">AH6*1.12</f>
        <v>4547.6611625534042</v>
      </c>
      <c r="AJ6" s="21">
        <v>475</v>
      </c>
      <c r="AK6" s="20">
        <f t="shared" ref="AK6:AK24" si="22">AJ6+AI6</f>
        <v>5022.6611625534042</v>
      </c>
      <c r="AL6" s="20">
        <f t="shared" ref="AL6:AL24" si="23">AK6*1.17</f>
        <v>5876.5135601874827</v>
      </c>
      <c r="AM6" s="21">
        <v>585</v>
      </c>
      <c r="AN6" s="20">
        <f t="shared" ref="AN6:AN24" si="24">AM6+AL6</f>
        <v>6461.5135601874827</v>
      </c>
      <c r="AO6" s="20">
        <f t="shared" ref="AO6:AO24" si="25">AN6*1.14</f>
        <v>7366.1254586137293</v>
      </c>
      <c r="AP6" s="21">
        <v>715</v>
      </c>
      <c r="AQ6" s="20">
        <f t="shared" ref="AQ6:AQ24" si="26">AP6+AO6</f>
        <v>8081.1254586137293</v>
      </c>
      <c r="AR6" s="20">
        <f t="shared" ref="AR6:AR24" si="27">AQ6*1.12</f>
        <v>9050.860513647378</v>
      </c>
      <c r="AS6" s="21">
        <v>905</v>
      </c>
      <c r="AT6" s="20">
        <f t="shared" ref="AT6:AT24" si="28">AS6+AR6</f>
        <v>9955.860513647378</v>
      </c>
      <c r="AU6" s="20">
        <f t="shared" ref="AU6:AU24" si="29">AT6*1.1</f>
        <v>10951.446565012116</v>
      </c>
      <c r="AV6" s="21">
        <v>1025</v>
      </c>
      <c r="AW6" s="20">
        <f t="shared" ref="AW6:AW24" si="30">AV6+AU6</f>
        <v>11976.446565012116</v>
      </c>
      <c r="AX6" s="20">
        <f t="shared" ref="AX6:AX24" si="31">AW6*1.13</f>
        <v>13533.38461846369</v>
      </c>
      <c r="AY6" s="21">
        <v>1300</v>
      </c>
      <c r="AZ6" s="20">
        <f t="shared" ref="AZ6:AZ24" si="32">AY6+AX6</f>
        <v>14833.38461846369</v>
      </c>
      <c r="BA6" s="20">
        <f t="shared" ref="BA6:BA24" si="33">AZ6*1.15</f>
        <v>17058.392311233241</v>
      </c>
      <c r="BB6" s="21">
        <v>1300</v>
      </c>
      <c r="BC6" s="20">
        <f t="shared" ref="BC6:BC24" si="34">BB6+BA6</f>
        <v>18358.392311233241</v>
      </c>
      <c r="BD6" s="20">
        <f t="shared" ref="BD6:BD24" si="35">BC6*1.26</f>
        <v>23131.574312153884</v>
      </c>
      <c r="BE6" s="21">
        <v>1300</v>
      </c>
      <c r="BF6" s="20">
        <f t="shared" ref="BF6:BF24" si="36">BE6+BD6</f>
        <v>24431.574312153884</v>
      </c>
      <c r="BG6" s="20">
        <f t="shared" ref="BG6:BG24" si="37">BF6*1.38</f>
        <v>33715.572550772355</v>
      </c>
      <c r="BH6" s="21">
        <v>1300</v>
      </c>
      <c r="BI6" s="20">
        <f t="shared" ref="BI6:BI24" si="38">BH6+BG6</f>
        <v>35015.572550772355</v>
      </c>
      <c r="BJ6" s="20">
        <f t="shared" ref="BJ6:BJ24" si="39">BI6*1.21</f>
        <v>42368.84278643455</v>
      </c>
      <c r="BK6" s="21">
        <v>2100</v>
      </c>
      <c r="BL6" s="20">
        <f t="shared" ref="BL6:BL24" si="40">BK6+BJ6</f>
        <v>44468.84278643455</v>
      </c>
      <c r="BM6" s="20">
        <f t="shared" ref="BM6:BM24" si="41">BL6*1.22</f>
        <v>54251.988199450148</v>
      </c>
      <c r="BN6" s="21">
        <v>2100</v>
      </c>
      <c r="BO6" s="20">
        <f t="shared" ref="BO6:BO24" si="42">BN6+BM6</f>
        <v>56351.988199450148</v>
      </c>
      <c r="BP6" s="20">
        <f t="shared" ref="BP6:BP24" si="43">BO6*1.1</f>
        <v>61987.187019395169</v>
      </c>
      <c r="BQ6" s="21">
        <v>2600</v>
      </c>
      <c r="BR6" s="20">
        <f t="shared" ref="BR6:BR24" si="44">BQ6+BP6</f>
        <v>64587.187019395169</v>
      </c>
      <c r="BS6" s="20">
        <f t="shared" ref="BS6:BS24" si="45">BR6*1.1</f>
        <v>71045.905721334697</v>
      </c>
      <c r="BT6" s="21">
        <v>31000</v>
      </c>
      <c r="BU6" s="20">
        <f>(BS6+BT6)</f>
        <v>102045.9057213347</v>
      </c>
      <c r="BV6" s="20">
        <f t="shared" ref="BV6:BV24" si="46">BU6*1.12</f>
        <v>114291.41440789487</v>
      </c>
      <c r="BW6" s="21">
        <f>BW5+100</f>
        <v>5100</v>
      </c>
      <c r="BX6" s="20">
        <f t="shared" ref="BX6:BX24" si="47">BV6+BW6</f>
        <v>119391.41440789487</v>
      </c>
      <c r="BY6" s="20">
        <f t="shared" ref="BY6:BY24" si="48">BX6*1.17</f>
        <v>139687.954857237</v>
      </c>
      <c r="BZ6" s="21">
        <f>BZ5+100</f>
        <v>10100</v>
      </c>
      <c r="CA6" s="20">
        <f t="shared" ref="CA6:CA24" si="49">BY6+BZ6</f>
        <v>149787.954857237</v>
      </c>
      <c r="CB6" s="20">
        <f t="shared" ref="CB6:CB23" si="50">CA6*1.14</f>
        <v>170758.26853725017</v>
      </c>
      <c r="CC6" s="21">
        <f>CC5+200</f>
        <v>10200</v>
      </c>
      <c r="CD6" s="20">
        <f t="shared" ref="CD6:CD24" si="51">CB6+CC6</f>
        <v>180958.26853725017</v>
      </c>
      <c r="CE6" s="20">
        <f t="shared" ref="CE6:CE24" si="52">CD6*1.12</f>
        <v>202673.26076172022</v>
      </c>
      <c r="CF6" s="21">
        <f>CF5+200</f>
        <v>146792.61027560628</v>
      </c>
      <c r="CG6" s="20">
        <f t="shared" ref="CG6:CG23" si="53">CE6+CF6</f>
        <v>349465.87103732652</v>
      </c>
      <c r="CH6" s="20">
        <f t="shared" ref="CH6:CH24" si="54">CG6*1.1</f>
        <v>384412.45814105921</v>
      </c>
      <c r="CI6" s="21">
        <f>CI5+200</f>
        <v>470679.30203548359</v>
      </c>
      <c r="CJ6" s="20">
        <f t="shared" ref="CJ6:CJ24" si="55">CI6+CH6</f>
        <v>855091.7601765428</v>
      </c>
      <c r="CK6" s="20">
        <f t="shared" ref="CK6:CK24" si="56">CJ6*1.13</f>
        <v>966253.68899949326</v>
      </c>
      <c r="CL6" s="21">
        <f>CL5+200</f>
        <v>1527241.3917494551</v>
      </c>
      <c r="CM6" s="20">
        <f t="shared" ref="CM6:CM24" si="57">CL6+CK6</f>
        <v>2493495.0807489483</v>
      </c>
      <c r="CN6" s="20">
        <f t="shared" ref="CN6:CN24" si="58">CM6*1.15</f>
        <v>2867519.3428612901</v>
      </c>
      <c r="CO6" s="21">
        <f>CO5+200</f>
        <v>5025098.1759492634</v>
      </c>
      <c r="CP6" s="20">
        <f t="shared" ref="CP6:CP24" si="59">CO6+CN6</f>
        <v>7892617.5188105535</v>
      </c>
      <c r="CQ6" s="20">
        <f t="shared" ref="CQ6:CQ24" si="60">CP6*1.26</f>
        <v>9944698.0737012979</v>
      </c>
      <c r="CR6" s="21">
        <f>CR5+200</f>
        <v>17430753.765688188</v>
      </c>
      <c r="CS6" s="20">
        <f t="shared" ref="CS6:CS23" si="61">CR6+CQ6</f>
        <v>27375451.839389488</v>
      </c>
      <c r="CT6" s="20">
        <f>CS6*1.38</f>
        <v>37778123.538357489</v>
      </c>
      <c r="CU6" s="21">
        <f>CU5+200</f>
        <v>64613566.029835999</v>
      </c>
      <c r="CV6" s="20">
        <f t="shared" ref="CV6:CV24" si="62">CU6+CT6</f>
        <v>102391689.5681935</v>
      </c>
      <c r="CW6" s="20">
        <f t="shared" ref="CW6:CW24" si="63">CV6*1.21</f>
        <v>123893944.37751412</v>
      </c>
      <c r="CX6" s="21">
        <f>CX5+200</f>
        <v>70200</v>
      </c>
      <c r="CY6" s="20">
        <f t="shared" ref="CY6:CY24" si="64">CX6+CW6</f>
        <v>123964144.37751412</v>
      </c>
      <c r="CZ6" s="20">
        <f t="shared" ref="CZ6:CZ24" si="65">CY6*1.22</f>
        <v>151236256.14056721</v>
      </c>
      <c r="DA6" s="21">
        <v>70200</v>
      </c>
      <c r="DB6" s="20">
        <f t="shared" ref="DB6:DB24" si="66">DA6+CZ6</f>
        <v>151306456.14056721</v>
      </c>
      <c r="DC6" s="20">
        <f t="shared" ref="DC6:DC24" si="67">DB6*1.32</f>
        <v>199724522.10554874</v>
      </c>
      <c r="DD6" s="21">
        <v>94200</v>
      </c>
      <c r="DE6" s="20">
        <f t="shared" ref="DE6:DE24" si="68">DD6+DC6</f>
        <v>199818722.10554874</v>
      </c>
      <c r="DF6" s="20">
        <f t="shared" ref="DF6:DF24" si="69">DE6*1.45</f>
        <v>289737147.05304569</v>
      </c>
      <c r="DG6" s="21">
        <v>166867</v>
      </c>
      <c r="DH6" s="20">
        <f t="shared" ref="DH6:DH24" si="70">DG6+DF6</f>
        <v>289904014.05304569</v>
      </c>
    </row>
    <row r="7" spans="1:112">
      <c r="A7" s="25">
        <v>3</v>
      </c>
      <c r="B7" s="20">
        <v>0</v>
      </c>
      <c r="C7" s="21">
        <v>70</v>
      </c>
      <c r="D7" s="20">
        <f t="shared" si="0"/>
        <v>70</v>
      </c>
      <c r="E7" s="20">
        <f t="shared" si="1"/>
        <v>78.400000000000006</v>
      </c>
      <c r="F7" s="20">
        <v>70</v>
      </c>
      <c r="G7" s="20">
        <f t="shared" si="2"/>
        <v>148.4</v>
      </c>
      <c r="H7" s="20">
        <f t="shared" si="3"/>
        <v>163.24</v>
      </c>
      <c r="I7" s="20">
        <v>70</v>
      </c>
      <c r="J7" s="20">
        <f t="shared" si="4"/>
        <v>233.24</v>
      </c>
      <c r="K7" s="20">
        <f t="shared" si="5"/>
        <v>263.56119999999999</v>
      </c>
      <c r="L7" s="20">
        <v>70</v>
      </c>
      <c r="M7" s="20">
        <f>L7+K7</f>
        <v>333.56119999999999</v>
      </c>
      <c r="N7" s="20">
        <f t="shared" si="7"/>
        <v>383.59537999999998</v>
      </c>
      <c r="O7" s="20">
        <v>90</v>
      </c>
      <c r="P7" s="20">
        <f t="shared" si="8"/>
        <v>473.59537999999998</v>
      </c>
      <c r="Q7" s="20">
        <f t="shared" si="9"/>
        <v>596.73017879999998</v>
      </c>
      <c r="R7" s="20">
        <v>110</v>
      </c>
      <c r="S7" s="20">
        <f t="shared" si="10"/>
        <v>706.73017879999998</v>
      </c>
      <c r="T7" s="20">
        <f t="shared" si="11"/>
        <v>975.28764674399986</v>
      </c>
      <c r="U7" s="20">
        <v>67</v>
      </c>
      <c r="V7" s="20">
        <f t="shared" si="12"/>
        <v>1042.2876467439999</v>
      </c>
      <c r="W7" s="20">
        <f t="shared" si="13"/>
        <v>1261.1680525602399</v>
      </c>
      <c r="X7" s="20">
        <v>135</v>
      </c>
      <c r="Y7" s="20">
        <f t="shared" si="14"/>
        <v>1396.1680525602399</v>
      </c>
      <c r="Z7" s="20">
        <f t="shared" si="15"/>
        <v>1703.3250241234925</v>
      </c>
      <c r="AA7" s="20">
        <v>160</v>
      </c>
      <c r="AB7" s="20">
        <f t="shared" si="16"/>
        <v>1863.3250241234925</v>
      </c>
      <c r="AC7" s="20">
        <f t="shared" si="17"/>
        <v>2459.5890318430102</v>
      </c>
      <c r="AD7" s="20">
        <v>220</v>
      </c>
      <c r="AE7" s="20">
        <f t="shared" si="18"/>
        <v>2679.5890318430102</v>
      </c>
      <c r="AF7" s="20">
        <f t="shared" si="19"/>
        <v>3885.4040961723645</v>
      </c>
      <c r="AG7" s="20">
        <v>390</v>
      </c>
      <c r="AH7" s="20">
        <f t="shared" si="20"/>
        <v>4275.404096172364</v>
      </c>
      <c r="AI7" s="20">
        <f t="shared" si="21"/>
        <v>4788.4525877130482</v>
      </c>
      <c r="AJ7" s="20">
        <v>480</v>
      </c>
      <c r="AK7" s="20">
        <f t="shared" si="22"/>
        <v>5268.4525877130482</v>
      </c>
      <c r="AL7" s="20">
        <f t="shared" si="23"/>
        <v>6164.0895276242663</v>
      </c>
      <c r="AM7" s="20">
        <v>590</v>
      </c>
      <c r="AN7" s="20">
        <f t="shared" si="24"/>
        <v>6754.0895276242663</v>
      </c>
      <c r="AO7" s="20">
        <f t="shared" si="25"/>
        <v>7699.6620614916628</v>
      </c>
      <c r="AP7" s="20">
        <v>720</v>
      </c>
      <c r="AQ7" s="20">
        <f t="shared" si="26"/>
        <v>8419.6620614916628</v>
      </c>
      <c r="AR7" s="20">
        <f t="shared" si="27"/>
        <v>9430.0215088706627</v>
      </c>
      <c r="AS7" s="20">
        <v>910</v>
      </c>
      <c r="AT7" s="20">
        <f t="shared" si="28"/>
        <v>10340.021508870663</v>
      </c>
      <c r="AU7" s="20">
        <f t="shared" si="29"/>
        <v>11374.02365975773</v>
      </c>
      <c r="AV7" s="20">
        <v>1030</v>
      </c>
      <c r="AW7" s="20">
        <f t="shared" si="30"/>
        <v>12404.02365975773</v>
      </c>
      <c r="AX7" s="20">
        <f t="shared" si="31"/>
        <v>14016.546735526234</v>
      </c>
      <c r="AY7" s="20">
        <v>1350</v>
      </c>
      <c r="AZ7" s="20">
        <f t="shared" si="32"/>
        <v>15366.546735526234</v>
      </c>
      <c r="BA7" s="20">
        <f t="shared" si="33"/>
        <v>17671.528745855168</v>
      </c>
      <c r="BB7" s="20">
        <v>1350</v>
      </c>
      <c r="BC7" s="20">
        <f t="shared" si="34"/>
        <v>19021.528745855168</v>
      </c>
      <c r="BD7" s="20">
        <f t="shared" si="35"/>
        <v>23967.126219777514</v>
      </c>
      <c r="BE7" s="20">
        <v>1350</v>
      </c>
      <c r="BF7" s="20">
        <f t="shared" si="36"/>
        <v>25317.126219777514</v>
      </c>
      <c r="BG7" s="20">
        <f t="shared" si="37"/>
        <v>34937.634183292968</v>
      </c>
      <c r="BH7" s="20">
        <v>1350</v>
      </c>
      <c r="BI7" s="20">
        <f t="shared" si="38"/>
        <v>36287.634183292968</v>
      </c>
      <c r="BJ7" s="20">
        <f t="shared" si="39"/>
        <v>43908.037361784489</v>
      </c>
      <c r="BK7" s="20">
        <v>2200</v>
      </c>
      <c r="BL7" s="20">
        <f t="shared" si="40"/>
        <v>46108.037361784489</v>
      </c>
      <c r="BM7" s="20">
        <f t="shared" si="41"/>
        <v>56251.805581377077</v>
      </c>
      <c r="BN7" s="20">
        <v>2200</v>
      </c>
      <c r="BO7" s="20">
        <f t="shared" si="42"/>
        <v>58451.805581377077</v>
      </c>
      <c r="BP7" s="20">
        <f t="shared" si="43"/>
        <v>64296.986139514789</v>
      </c>
      <c r="BQ7" s="20">
        <v>2700</v>
      </c>
      <c r="BR7" s="20">
        <f t="shared" si="44"/>
        <v>66996.986139514789</v>
      </c>
      <c r="BS7" s="20">
        <f t="shared" si="45"/>
        <v>73696.684753466281</v>
      </c>
      <c r="BT7" s="21">
        <v>32000</v>
      </c>
      <c r="BU7" s="20">
        <f>(BS7+BT7)</f>
        <v>105696.68475346628</v>
      </c>
      <c r="BV7" s="20">
        <f t="shared" si="46"/>
        <v>118380.28692388225</v>
      </c>
      <c r="BW7" s="21">
        <f t="shared" ref="BW7:BW15" si="71">BW6+100</f>
        <v>5200</v>
      </c>
      <c r="BX7" s="20">
        <f t="shared" si="47"/>
        <v>123580.28692388225</v>
      </c>
      <c r="BY7" s="20">
        <f t="shared" si="48"/>
        <v>144588.93570094221</v>
      </c>
      <c r="BZ7" s="21">
        <f t="shared" ref="BZ7:BZ15" si="72">BZ6+100</f>
        <v>10200</v>
      </c>
      <c r="CA7" s="20">
        <f t="shared" si="49"/>
        <v>154788.93570094221</v>
      </c>
      <c r="CB7" s="20">
        <f t="shared" si="50"/>
        <v>176459.38669907409</v>
      </c>
      <c r="CC7" s="21">
        <f t="shared" ref="CC7:CC15" si="73">CC6+200</f>
        <v>10400</v>
      </c>
      <c r="CD7" s="20">
        <f t="shared" si="51"/>
        <v>186859.38669907409</v>
      </c>
      <c r="CE7" s="20">
        <f t="shared" si="52"/>
        <v>209282.51310296301</v>
      </c>
      <c r="CF7" s="21">
        <f t="shared" ref="CF7:CF15" si="74">CF6+200</f>
        <v>146992.61027560628</v>
      </c>
      <c r="CG7" s="20">
        <f t="shared" si="53"/>
        <v>356275.12337856926</v>
      </c>
      <c r="CH7" s="20">
        <f t="shared" si="54"/>
        <v>391902.63571642624</v>
      </c>
      <c r="CI7" s="21">
        <f t="shared" ref="CI7:CI15" si="75">CI6+200</f>
        <v>470879.30203548359</v>
      </c>
      <c r="CJ7" s="20">
        <f t="shared" si="55"/>
        <v>862781.93775190983</v>
      </c>
      <c r="CK7" s="20">
        <f t="shared" si="56"/>
        <v>974943.58965965803</v>
      </c>
      <c r="CL7" s="21">
        <f t="shared" ref="CL7:CL15" si="76">CL6+200</f>
        <v>1527441.3917494551</v>
      </c>
      <c r="CM7" s="20">
        <f>CL7+CK7</f>
        <v>2502384.9814091129</v>
      </c>
      <c r="CN7" s="20">
        <f t="shared" si="58"/>
        <v>2877742.7286204798</v>
      </c>
      <c r="CO7" s="21">
        <f t="shared" ref="CO7:CO15" si="77">CO6+200</f>
        <v>5025298.1759492634</v>
      </c>
      <c r="CP7" s="20">
        <f t="shared" si="59"/>
        <v>7903040.9045697432</v>
      </c>
      <c r="CQ7" s="20">
        <f t="shared" si="60"/>
        <v>9957831.5397578757</v>
      </c>
      <c r="CR7" s="21">
        <f t="shared" ref="CR7:CR15" si="78">CR6+200</f>
        <v>17430953.765688188</v>
      </c>
      <c r="CS7" s="20">
        <f t="shared" si="61"/>
        <v>27388785.305446066</v>
      </c>
      <c r="CT7" s="20">
        <f t="shared" ref="CT7:CT24" si="79">CS7*1.38</f>
        <v>37796523.721515566</v>
      </c>
      <c r="CU7" s="21">
        <f t="shared" ref="CU7:CU15" si="80">CU6+200</f>
        <v>64613766.029835999</v>
      </c>
      <c r="CV7" s="20">
        <f t="shared" si="62"/>
        <v>102410289.75135157</v>
      </c>
      <c r="CW7" s="20">
        <f t="shared" si="63"/>
        <v>123916450.59913538</v>
      </c>
      <c r="CX7" s="21">
        <f t="shared" ref="CX7:CX15" si="81">CX6+200</f>
        <v>70400</v>
      </c>
      <c r="CY7" s="20">
        <f t="shared" si="64"/>
        <v>123986850.59913538</v>
      </c>
      <c r="CZ7" s="20">
        <f t="shared" si="65"/>
        <v>151263957.73094517</v>
      </c>
      <c r="DA7" s="21">
        <v>70400</v>
      </c>
      <c r="DB7" s="20">
        <f t="shared" si="66"/>
        <v>151334357.73094517</v>
      </c>
      <c r="DC7" s="20">
        <f t="shared" si="67"/>
        <v>199761352.20484763</v>
      </c>
      <c r="DD7" s="21">
        <v>94400</v>
      </c>
      <c r="DE7" s="20">
        <f t="shared" si="68"/>
        <v>199855752.20484763</v>
      </c>
      <c r="DF7" s="20">
        <f t="shared" si="69"/>
        <v>289790840.69702905</v>
      </c>
      <c r="DG7" s="21">
        <v>167067</v>
      </c>
      <c r="DH7" s="20">
        <f t="shared" si="70"/>
        <v>289957907.69702905</v>
      </c>
    </row>
    <row r="8" spans="1:112">
      <c r="A8" s="25">
        <v>4</v>
      </c>
      <c r="B8" s="20">
        <v>0</v>
      </c>
      <c r="C8" s="21">
        <v>75</v>
      </c>
      <c r="D8" s="20">
        <f t="shared" si="0"/>
        <v>75</v>
      </c>
      <c r="E8" s="20">
        <f t="shared" si="1"/>
        <v>84.000000000000014</v>
      </c>
      <c r="F8" s="21">
        <v>75</v>
      </c>
      <c r="G8" s="20">
        <f t="shared" si="2"/>
        <v>159</v>
      </c>
      <c r="H8" s="20">
        <f t="shared" si="3"/>
        <v>174.9</v>
      </c>
      <c r="I8" s="21">
        <v>75</v>
      </c>
      <c r="J8" s="20">
        <f t="shared" si="4"/>
        <v>249.9</v>
      </c>
      <c r="K8" s="20">
        <f t="shared" si="5"/>
        <v>282.387</v>
      </c>
      <c r="L8" s="21">
        <v>75</v>
      </c>
      <c r="M8" s="20">
        <f t="shared" si="6"/>
        <v>357.387</v>
      </c>
      <c r="N8" s="20">
        <f t="shared" si="7"/>
        <v>410.99504999999999</v>
      </c>
      <c r="O8" s="21">
        <v>95</v>
      </c>
      <c r="P8" s="20">
        <f t="shared" si="8"/>
        <v>505.99504999999999</v>
      </c>
      <c r="Q8" s="20">
        <f t="shared" si="9"/>
        <v>637.553763</v>
      </c>
      <c r="R8" s="21">
        <v>115</v>
      </c>
      <c r="S8" s="20">
        <f t="shared" si="10"/>
        <v>752.553763</v>
      </c>
      <c r="T8" s="20">
        <f t="shared" si="11"/>
        <v>1038.5241929399999</v>
      </c>
      <c r="U8" s="20">
        <v>68</v>
      </c>
      <c r="V8" s="20">
        <f t="shared" si="12"/>
        <v>1106.5241929399999</v>
      </c>
      <c r="W8" s="20">
        <f t="shared" si="13"/>
        <v>1338.8942734573998</v>
      </c>
      <c r="X8" s="21">
        <v>140</v>
      </c>
      <c r="Y8" s="20">
        <f t="shared" si="14"/>
        <v>1478.8942734573998</v>
      </c>
      <c r="Z8" s="20">
        <f t="shared" si="15"/>
        <v>1804.2510136180276</v>
      </c>
      <c r="AA8" s="21">
        <v>165</v>
      </c>
      <c r="AB8" s="20">
        <f t="shared" si="16"/>
        <v>1969.2510136180276</v>
      </c>
      <c r="AC8" s="20">
        <f t="shared" si="17"/>
        <v>2599.4113379757964</v>
      </c>
      <c r="AD8" s="21">
        <v>225</v>
      </c>
      <c r="AE8" s="20">
        <f t="shared" si="18"/>
        <v>2824.4113379757964</v>
      </c>
      <c r="AF8" s="20">
        <f t="shared" si="19"/>
        <v>4095.3964400649047</v>
      </c>
      <c r="AG8" s="21">
        <v>395</v>
      </c>
      <c r="AH8" s="20">
        <f t="shared" si="20"/>
        <v>4490.3964400649047</v>
      </c>
      <c r="AI8" s="20">
        <f t="shared" si="21"/>
        <v>5029.2440128726939</v>
      </c>
      <c r="AJ8" s="21">
        <v>485</v>
      </c>
      <c r="AK8" s="20">
        <f t="shared" si="22"/>
        <v>5514.2440128726939</v>
      </c>
      <c r="AL8" s="20">
        <f t="shared" si="23"/>
        <v>6451.6654950610518</v>
      </c>
      <c r="AM8" s="21">
        <v>595</v>
      </c>
      <c r="AN8" s="20">
        <f t="shared" si="24"/>
        <v>7046.6654950610518</v>
      </c>
      <c r="AO8" s="20">
        <f t="shared" si="25"/>
        <v>8033.1986643695982</v>
      </c>
      <c r="AP8" s="21">
        <v>725</v>
      </c>
      <c r="AQ8" s="20">
        <f t="shared" si="26"/>
        <v>8758.1986643695982</v>
      </c>
      <c r="AR8" s="20">
        <f t="shared" si="27"/>
        <v>9809.1825040939511</v>
      </c>
      <c r="AS8" s="21">
        <v>915</v>
      </c>
      <c r="AT8" s="20">
        <f t="shared" si="28"/>
        <v>10724.182504093951</v>
      </c>
      <c r="AU8" s="20">
        <f t="shared" si="29"/>
        <v>11796.600754503348</v>
      </c>
      <c r="AV8" s="21">
        <v>1035</v>
      </c>
      <c r="AW8" s="20">
        <f t="shared" si="30"/>
        <v>12831.600754503348</v>
      </c>
      <c r="AX8" s="20">
        <f t="shared" si="31"/>
        <v>14499.708852588781</v>
      </c>
      <c r="AY8" s="21">
        <v>1400</v>
      </c>
      <c r="AZ8" s="20">
        <f t="shared" si="32"/>
        <v>15899.708852588781</v>
      </c>
      <c r="BA8" s="20">
        <f t="shared" si="33"/>
        <v>18284.665180477095</v>
      </c>
      <c r="BB8" s="21">
        <v>1400</v>
      </c>
      <c r="BC8" s="20">
        <f t="shared" si="34"/>
        <v>19684.665180477095</v>
      </c>
      <c r="BD8" s="20">
        <f t="shared" si="35"/>
        <v>24802.678127401141</v>
      </c>
      <c r="BE8" s="21">
        <v>1400</v>
      </c>
      <c r="BF8" s="20">
        <f t="shared" si="36"/>
        <v>26202.678127401141</v>
      </c>
      <c r="BG8" s="20">
        <f t="shared" si="37"/>
        <v>36159.695815813575</v>
      </c>
      <c r="BH8" s="21">
        <v>1400</v>
      </c>
      <c r="BI8" s="20">
        <f t="shared" si="38"/>
        <v>37559.695815813575</v>
      </c>
      <c r="BJ8" s="20">
        <f t="shared" si="39"/>
        <v>45447.231937134427</v>
      </c>
      <c r="BK8" s="21">
        <v>2300</v>
      </c>
      <c r="BL8" s="20">
        <f t="shared" si="40"/>
        <v>47747.231937134427</v>
      </c>
      <c r="BM8" s="20">
        <f t="shared" si="41"/>
        <v>58251.622963303998</v>
      </c>
      <c r="BN8" s="21">
        <v>2300</v>
      </c>
      <c r="BO8" s="20">
        <f t="shared" si="42"/>
        <v>60551.622963303998</v>
      </c>
      <c r="BP8" s="20">
        <f t="shared" si="43"/>
        <v>66606.785259634402</v>
      </c>
      <c r="BQ8" s="21">
        <v>2800</v>
      </c>
      <c r="BR8" s="20">
        <f t="shared" si="44"/>
        <v>69406.785259634402</v>
      </c>
      <c r="BS8" s="20">
        <f t="shared" si="45"/>
        <v>76347.463785597851</v>
      </c>
      <c r="BT8" s="21">
        <v>33000</v>
      </c>
      <c r="BU8" s="20">
        <f t="shared" ref="BU8:BU24" si="82">(BS8+BT8)</f>
        <v>109347.46378559785</v>
      </c>
      <c r="BV8" s="20">
        <f t="shared" si="46"/>
        <v>122469.1594398696</v>
      </c>
      <c r="BW8" s="21">
        <f t="shared" si="71"/>
        <v>5300</v>
      </c>
      <c r="BX8" s="20">
        <f t="shared" si="47"/>
        <v>127769.1594398696</v>
      </c>
      <c r="BY8" s="20">
        <f t="shared" si="48"/>
        <v>149489.91654464742</v>
      </c>
      <c r="BZ8" s="21">
        <f t="shared" si="72"/>
        <v>10300</v>
      </c>
      <c r="CA8" s="20">
        <f t="shared" si="49"/>
        <v>159789.91654464742</v>
      </c>
      <c r="CB8" s="20">
        <f t="shared" si="50"/>
        <v>182160.50486089804</v>
      </c>
      <c r="CC8" s="21">
        <f t="shared" si="73"/>
        <v>10600</v>
      </c>
      <c r="CD8" s="20">
        <f t="shared" si="51"/>
        <v>192760.50486089804</v>
      </c>
      <c r="CE8" s="20">
        <f t="shared" si="52"/>
        <v>215891.76544420584</v>
      </c>
      <c r="CF8" s="21">
        <f t="shared" si="74"/>
        <v>147192.61027560628</v>
      </c>
      <c r="CG8" s="20">
        <f t="shared" si="53"/>
        <v>363084.37571981212</v>
      </c>
      <c r="CH8" s="20">
        <f t="shared" si="54"/>
        <v>399392.81329179334</v>
      </c>
      <c r="CI8" s="21">
        <f t="shared" si="75"/>
        <v>471079.30203548359</v>
      </c>
      <c r="CJ8" s="20">
        <f t="shared" si="55"/>
        <v>870472.11532727699</v>
      </c>
      <c r="CK8" s="20">
        <f t="shared" si="56"/>
        <v>983633.49031982291</v>
      </c>
      <c r="CL8" s="21">
        <f t="shared" si="76"/>
        <v>1527641.3917494551</v>
      </c>
      <c r="CM8" s="20">
        <f t="shared" si="57"/>
        <v>2511274.882069278</v>
      </c>
      <c r="CN8" s="20">
        <f t="shared" si="58"/>
        <v>2887966.1143796695</v>
      </c>
      <c r="CO8" s="21">
        <f t="shared" si="77"/>
        <v>5025498.1759492634</v>
      </c>
      <c r="CP8" s="20">
        <f t="shared" si="59"/>
        <v>7913464.2903289329</v>
      </c>
      <c r="CQ8" s="20">
        <f t="shared" si="60"/>
        <v>9970965.0058144554</v>
      </c>
      <c r="CR8" s="21">
        <f t="shared" si="78"/>
        <v>17431153.765688188</v>
      </c>
      <c r="CS8" s="20">
        <f t="shared" si="61"/>
        <v>27402118.771502644</v>
      </c>
      <c r="CT8" s="20">
        <f t="shared" si="79"/>
        <v>37814923.904673643</v>
      </c>
      <c r="CU8" s="21">
        <f t="shared" si="80"/>
        <v>64613966.029835999</v>
      </c>
      <c r="CV8" s="20">
        <f t="shared" si="62"/>
        <v>102428889.93450963</v>
      </c>
      <c r="CW8" s="20">
        <f t="shared" si="63"/>
        <v>123938956.82075666</v>
      </c>
      <c r="CX8" s="21">
        <f t="shared" si="81"/>
        <v>70600</v>
      </c>
      <c r="CY8" s="20">
        <f t="shared" si="64"/>
        <v>124009556.82075666</v>
      </c>
      <c r="CZ8" s="20">
        <f t="shared" si="65"/>
        <v>151291659.32132313</v>
      </c>
      <c r="DA8" s="21">
        <v>70600</v>
      </c>
      <c r="DB8" s="20">
        <f>DA8+CZ8</f>
        <v>151362259.32132313</v>
      </c>
      <c r="DC8" s="20">
        <f t="shared" si="67"/>
        <v>199798182.30414653</v>
      </c>
      <c r="DD8" s="20">
        <v>94600</v>
      </c>
      <c r="DE8" s="20">
        <f t="shared" si="68"/>
        <v>199892782.30414653</v>
      </c>
      <c r="DF8" s="20">
        <f t="shared" si="69"/>
        <v>289844534.34101248</v>
      </c>
      <c r="DG8" s="20">
        <v>167267</v>
      </c>
      <c r="DH8" s="20">
        <f t="shared" si="70"/>
        <v>290011801.34101248</v>
      </c>
    </row>
    <row r="9" spans="1:112">
      <c r="A9" s="25">
        <v>5</v>
      </c>
      <c r="B9" s="20">
        <v>0</v>
      </c>
      <c r="C9" s="21">
        <v>80</v>
      </c>
      <c r="D9" s="20">
        <f t="shared" si="0"/>
        <v>80</v>
      </c>
      <c r="E9" s="20">
        <f t="shared" si="1"/>
        <v>89.600000000000009</v>
      </c>
      <c r="F9" s="20">
        <v>80</v>
      </c>
      <c r="G9" s="20">
        <f t="shared" si="2"/>
        <v>169.60000000000002</v>
      </c>
      <c r="H9" s="20">
        <f t="shared" si="3"/>
        <v>186.56000000000003</v>
      </c>
      <c r="I9" s="20">
        <v>80</v>
      </c>
      <c r="J9" s="20">
        <f t="shared" si="4"/>
        <v>266.56000000000006</v>
      </c>
      <c r="K9" s="20">
        <f t="shared" si="5"/>
        <v>301.21280000000002</v>
      </c>
      <c r="L9" s="20">
        <v>80</v>
      </c>
      <c r="M9" s="20">
        <f t="shared" si="6"/>
        <v>381.21280000000002</v>
      </c>
      <c r="N9" s="20">
        <f t="shared" si="7"/>
        <v>438.39472000000001</v>
      </c>
      <c r="O9" s="20">
        <v>100</v>
      </c>
      <c r="P9" s="20">
        <f t="shared" si="8"/>
        <v>538.39472000000001</v>
      </c>
      <c r="Q9" s="20">
        <f t="shared" si="9"/>
        <v>678.37734720000003</v>
      </c>
      <c r="R9" s="20">
        <v>120</v>
      </c>
      <c r="S9" s="20">
        <f t="shared" si="10"/>
        <v>798.37734720000003</v>
      </c>
      <c r="T9" s="20">
        <f t="shared" si="11"/>
        <v>1101.760739136</v>
      </c>
      <c r="U9" s="20">
        <v>69</v>
      </c>
      <c r="V9" s="20">
        <f t="shared" si="12"/>
        <v>1170.760739136</v>
      </c>
      <c r="W9" s="20">
        <f t="shared" si="13"/>
        <v>1416.6204943545599</v>
      </c>
      <c r="X9" s="20">
        <v>145</v>
      </c>
      <c r="Y9" s="20">
        <f t="shared" si="14"/>
        <v>1561.6204943545599</v>
      </c>
      <c r="Z9" s="20">
        <f t="shared" si="15"/>
        <v>1905.1770031125632</v>
      </c>
      <c r="AA9" s="20">
        <v>170</v>
      </c>
      <c r="AB9" s="20">
        <f t="shared" si="16"/>
        <v>2075.1770031125634</v>
      </c>
      <c r="AC9" s="20">
        <f t="shared" si="17"/>
        <v>2739.233644108584</v>
      </c>
      <c r="AD9" s="20">
        <v>230</v>
      </c>
      <c r="AE9" s="20">
        <f t="shared" si="18"/>
        <v>2969.233644108584</v>
      </c>
      <c r="AF9" s="20">
        <f t="shared" si="19"/>
        <v>4305.3887839574463</v>
      </c>
      <c r="AG9" s="20">
        <v>400</v>
      </c>
      <c r="AH9" s="20">
        <f t="shared" si="20"/>
        <v>4705.3887839574463</v>
      </c>
      <c r="AI9" s="20">
        <f t="shared" si="21"/>
        <v>5270.0354380323406</v>
      </c>
      <c r="AJ9" s="20">
        <v>490</v>
      </c>
      <c r="AK9" s="20">
        <f t="shared" si="22"/>
        <v>5760.0354380323406</v>
      </c>
      <c r="AL9" s="20">
        <f t="shared" si="23"/>
        <v>6739.2414624978383</v>
      </c>
      <c r="AM9" s="20">
        <v>600</v>
      </c>
      <c r="AN9" s="20">
        <f t="shared" si="24"/>
        <v>7339.2414624978383</v>
      </c>
      <c r="AO9" s="20">
        <f t="shared" si="25"/>
        <v>8366.7352672475354</v>
      </c>
      <c r="AP9" s="20">
        <v>730</v>
      </c>
      <c r="AQ9" s="20">
        <f t="shared" si="26"/>
        <v>9096.7352672475354</v>
      </c>
      <c r="AR9" s="20">
        <f t="shared" si="27"/>
        <v>10188.343499317241</v>
      </c>
      <c r="AS9" s="20">
        <v>920</v>
      </c>
      <c r="AT9" s="20">
        <f t="shared" si="28"/>
        <v>11108.343499317241</v>
      </c>
      <c r="AU9" s="20">
        <f t="shared" si="29"/>
        <v>12219.177849248967</v>
      </c>
      <c r="AV9" s="20">
        <v>1040</v>
      </c>
      <c r="AW9" s="20">
        <f t="shared" si="30"/>
        <v>13259.177849248967</v>
      </c>
      <c r="AX9" s="20">
        <f t="shared" si="31"/>
        <v>14982.870969651331</v>
      </c>
      <c r="AY9" s="20">
        <v>1450</v>
      </c>
      <c r="AZ9" s="20">
        <f t="shared" si="32"/>
        <v>16432.870969651332</v>
      </c>
      <c r="BA9" s="20">
        <f t="shared" si="33"/>
        <v>18897.80161509903</v>
      </c>
      <c r="BB9" s="20">
        <v>1450</v>
      </c>
      <c r="BC9" s="20">
        <f t="shared" si="34"/>
        <v>20347.80161509903</v>
      </c>
      <c r="BD9" s="20">
        <f t="shared" si="35"/>
        <v>25638.230035024779</v>
      </c>
      <c r="BE9" s="20">
        <v>1450</v>
      </c>
      <c r="BF9" s="20">
        <f t="shared" si="36"/>
        <v>27088.230035024779</v>
      </c>
      <c r="BG9" s="20">
        <f t="shared" si="37"/>
        <v>37381.757448334189</v>
      </c>
      <c r="BH9" s="20">
        <v>1450</v>
      </c>
      <c r="BI9" s="20">
        <f t="shared" si="38"/>
        <v>38831.757448334189</v>
      </c>
      <c r="BJ9" s="20">
        <f t="shared" si="39"/>
        <v>46986.426512484366</v>
      </c>
      <c r="BK9" s="20">
        <v>2400</v>
      </c>
      <c r="BL9" s="20">
        <f t="shared" si="40"/>
        <v>49386.426512484366</v>
      </c>
      <c r="BM9" s="20">
        <f t="shared" si="41"/>
        <v>60251.440345230927</v>
      </c>
      <c r="BN9" s="20">
        <v>2400</v>
      </c>
      <c r="BO9" s="20">
        <f t="shared" si="42"/>
        <v>62651.440345230927</v>
      </c>
      <c r="BP9" s="20">
        <f t="shared" si="43"/>
        <v>68916.584379754029</v>
      </c>
      <c r="BQ9" s="20">
        <v>2900</v>
      </c>
      <c r="BR9" s="20">
        <f t="shared" si="44"/>
        <v>71816.584379754029</v>
      </c>
      <c r="BS9" s="20">
        <f t="shared" si="45"/>
        <v>78998.242817729435</v>
      </c>
      <c r="BT9" s="27">
        <v>34000</v>
      </c>
      <c r="BU9" s="20">
        <f t="shared" si="82"/>
        <v>112998.24281772944</v>
      </c>
      <c r="BV9" s="20">
        <f t="shared" si="46"/>
        <v>126558.03195585698</v>
      </c>
      <c r="BW9" s="21">
        <f t="shared" si="71"/>
        <v>5400</v>
      </c>
      <c r="BX9" s="20">
        <f t="shared" si="47"/>
        <v>131958.03195585698</v>
      </c>
      <c r="BY9" s="20">
        <f t="shared" si="48"/>
        <v>154390.89738835266</v>
      </c>
      <c r="BZ9" s="21">
        <f t="shared" si="72"/>
        <v>10400</v>
      </c>
      <c r="CA9" s="20">
        <f t="shared" si="49"/>
        <v>164790.89738835266</v>
      </c>
      <c r="CB9" s="20">
        <f t="shared" si="50"/>
        <v>187861.62302272202</v>
      </c>
      <c r="CC9" s="21">
        <f t="shared" si="73"/>
        <v>10800</v>
      </c>
      <c r="CD9" s="20">
        <f t="shared" si="51"/>
        <v>198661.62302272202</v>
      </c>
      <c r="CE9" s="20">
        <f t="shared" si="52"/>
        <v>222501.0177854487</v>
      </c>
      <c r="CF9" s="21">
        <f t="shared" si="74"/>
        <v>147392.61027560628</v>
      </c>
      <c r="CG9" s="20">
        <f t="shared" si="53"/>
        <v>369893.62806105497</v>
      </c>
      <c r="CH9" s="20">
        <f t="shared" si="54"/>
        <v>406882.99086716049</v>
      </c>
      <c r="CI9" s="21">
        <f t="shared" si="75"/>
        <v>471279.30203548359</v>
      </c>
      <c r="CJ9" s="20">
        <f t="shared" si="55"/>
        <v>878162.29290264403</v>
      </c>
      <c r="CK9" s="20">
        <f t="shared" si="56"/>
        <v>992323.39097998769</v>
      </c>
      <c r="CL9" s="21">
        <f t="shared" si="76"/>
        <v>1527841.3917494551</v>
      </c>
      <c r="CM9" s="20">
        <f t="shared" si="57"/>
        <v>2520164.7827294427</v>
      </c>
      <c r="CN9" s="20">
        <f t="shared" si="58"/>
        <v>2898189.5001388588</v>
      </c>
      <c r="CO9" s="21">
        <f t="shared" si="77"/>
        <v>5025698.1759492634</v>
      </c>
      <c r="CP9" s="20">
        <f t="shared" si="59"/>
        <v>7923887.6760881227</v>
      </c>
      <c r="CQ9" s="20">
        <f t="shared" si="60"/>
        <v>9984098.4718710352</v>
      </c>
      <c r="CR9" s="21">
        <f t="shared" si="78"/>
        <v>17431353.765688188</v>
      </c>
      <c r="CS9" s="20">
        <f>CR9+CQ9</f>
        <v>27415452.237559222</v>
      </c>
      <c r="CT9" s="20">
        <f t="shared" si="79"/>
        <v>37833324.087831721</v>
      </c>
      <c r="CU9" s="21">
        <f t="shared" si="80"/>
        <v>64614166.029835999</v>
      </c>
      <c r="CV9" s="20">
        <f t="shared" si="62"/>
        <v>102447490.11766772</v>
      </c>
      <c r="CW9" s="20">
        <f t="shared" si="63"/>
        <v>123961463.04237793</v>
      </c>
      <c r="CX9" s="21">
        <f t="shared" si="81"/>
        <v>70800</v>
      </c>
      <c r="CY9" s="20">
        <f t="shared" si="64"/>
        <v>124032263.04237793</v>
      </c>
      <c r="CZ9" s="20">
        <f t="shared" si="65"/>
        <v>151319360.91170108</v>
      </c>
      <c r="DA9" s="21">
        <v>70800</v>
      </c>
      <c r="DB9" s="20">
        <f t="shared" si="66"/>
        <v>151390160.91170108</v>
      </c>
      <c r="DC9" s="20">
        <f t="shared" si="67"/>
        <v>199835012.40344545</v>
      </c>
      <c r="DD9" s="21">
        <v>94800</v>
      </c>
      <c r="DE9" s="20">
        <f t="shared" si="68"/>
        <v>199929812.40344545</v>
      </c>
      <c r="DF9" s="20">
        <f t="shared" si="69"/>
        <v>289898227.9849959</v>
      </c>
      <c r="DG9" s="21">
        <v>167467</v>
      </c>
      <c r="DH9" s="20">
        <f t="shared" si="70"/>
        <v>290065694.9849959</v>
      </c>
    </row>
    <row r="10" spans="1:112">
      <c r="A10" s="25">
        <v>6</v>
      </c>
      <c r="B10" s="20">
        <v>0</v>
      </c>
      <c r="C10" s="21">
        <v>85</v>
      </c>
      <c r="D10" s="20">
        <f t="shared" si="0"/>
        <v>85</v>
      </c>
      <c r="E10" s="20">
        <f t="shared" si="1"/>
        <v>95.2</v>
      </c>
      <c r="F10" s="21">
        <v>85</v>
      </c>
      <c r="G10" s="20">
        <f t="shared" si="2"/>
        <v>180.2</v>
      </c>
      <c r="H10" s="20">
        <f>G10*1.1</f>
        <v>198.22</v>
      </c>
      <c r="I10" s="21">
        <v>85</v>
      </c>
      <c r="J10" s="20">
        <f t="shared" si="4"/>
        <v>283.22000000000003</v>
      </c>
      <c r="K10" s="20">
        <f t="shared" si="5"/>
        <v>320.03859999999997</v>
      </c>
      <c r="L10" s="21">
        <v>85</v>
      </c>
      <c r="M10" s="20">
        <f t="shared" si="6"/>
        <v>405.03859999999997</v>
      </c>
      <c r="N10" s="20">
        <f t="shared" si="7"/>
        <v>465.79438999999991</v>
      </c>
      <c r="O10" s="21">
        <v>105</v>
      </c>
      <c r="P10" s="20">
        <f t="shared" si="8"/>
        <v>570.79438999999991</v>
      </c>
      <c r="Q10" s="20">
        <f t="shared" si="9"/>
        <v>719.20093139999994</v>
      </c>
      <c r="R10" s="21">
        <v>125</v>
      </c>
      <c r="S10" s="20">
        <f t="shared" si="10"/>
        <v>844.20093139999994</v>
      </c>
      <c r="T10" s="20">
        <f t="shared" si="11"/>
        <v>1164.9972853319998</v>
      </c>
      <c r="U10" s="20">
        <v>70</v>
      </c>
      <c r="V10" s="20">
        <f t="shared" si="12"/>
        <v>1234.9972853319998</v>
      </c>
      <c r="W10" s="20">
        <f t="shared" si="13"/>
        <v>1494.3467152517198</v>
      </c>
      <c r="X10" s="21">
        <v>150</v>
      </c>
      <c r="Y10" s="20">
        <f t="shared" si="14"/>
        <v>1644.3467152517198</v>
      </c>
      <c r="Z10" s="20">
        <f t="shared" si="15"/>
        <v>2006.1029926070983</v>
      </c>
      <c r="AA10" s="21">
        <v>175</v>
      </c>
      <c r="AB10" s="20">
        <f t="shared" si="16"/>
        <v>2181.1029926070983</v>
      </c>
      <c r="AC10" s="20">
        <f t="shared" si="17"/>
        <v>2879.0559502413698</v>
      </c>
      <c r="AD10" s="21">
        <v>235</v>
      </c>
      <c r="AE10" s="20">
        <f t="shared" si="18"/>
        <v>3114.0559502413698</v>
      </c>
      <c r="AF10" s="20">
        <f t="shared" si="19"/>
        <v>4515.3811278499861</v>
      </c>
      <c r="AG10" s="21">
        <v>405</v>
      </c>
      <c r="AH10" s="20">
        <f t="shared" si="20"/>
        <v>4920.3811278499861</v>
      </c>
      <c r="AI10" s="20">
        <f t="shared" si="21"/>
        <v>5510.8268631919846</v>
      </c>
      <c r="AJ10" s="21">
        <v>495</v>
      </c>
      <c r="AK10" s="20">
        <f t="shared" si="22"/>
        <v>6005.8268631919846</v>
      </c>
      <c r="AL10" s="20">
        <f t="shared" si="23"/>
        <v>7026.8174299346219</v>
      </c>
      <c r="AM10" s="21">
        <v>605</v>
      </c>
      <c r="AN10" s="20">
        <f t="shared" si="24"/>
        <v>7631.8174299346219</v>
      </c>
      <c r="AO10" s="20">
        <f t="shared" si="25"/>
        <v>8700.2718701254689</v>
      </c>
      <c r="AP10" s="21">
        <v>735</v>
      </c>
      <c r="AQ10" s="20">
        <f t="shared" si="26"/>
        <v>9435.2718701254689</v>
      </c>
      <c r="AR10" s="20">
        <f t="shared" si="27"/>
        <v>10567.504494540526</v>
      </c>
      <c r="AS10" s="21">
        <v>925</v>
      </c>
      <c r="AT10" s="20">
        <f t="shared" si="28"/>
        <v>11492.504494540526</v>
      </c>
      <c r="AU10" s="20">
        <f t="shared" si="29"/>
        <v>12641.75494399458</v>
      </c>
      <c r="AV10" s="21">
        <v>1045</v>
      </c>
      <c r="AW10" s="20">
        <f t="shared" si="30"/>
        <v>13686.75494399458</v>
      </c>
      <c r="AX10" s="20">
        <f t="shared" si="31"/>
        <v>15466.033086713873</v>
      </c>
      <c r="AY10" s="21">
        <v>1500</v>
      </c>
      <c r="AZ10" s="20">
        <f t="shared" si="32"/>
        <v>16966.033086713873</v>
      </c>
      <c r="BA10" s="20">
        <f t="shared" si="33"/>
        <v>19510.938049720953</v>
      </c>
      <c r="BB10" s="21">
        <v>1500</v>
      </c>
      <c r="BC10" s="20">
        <f t="shared" si="34"/>
        <v>21010.938049720953</v>
      </c>
      <c r="BD10" s="20">
        <f t="shared" si="35"/>
        <v>26473.781942648402</v>
      </c>
      <c r="BE10" s="21">
        <v>1500</v>
      </c>
      <c r="BF10" s="20">
        <f t="shared" si="36"/>
        <v>27973.781942648402</v>
      </c>
      <c r="BG10" s="20">
        <f t="shared" si="37"/>
        <v>38603.819080854795</v>
      </c>
      <c r="BH10" s="21">
        <v>1500</v>
      </c>
      <c r="BI10" s="20">
        <f t="shared" si="38"/>
        <v>40103.819080854795</v>
      </c>
      <c r="BJ10" s="20">
        <f t="shared" si="39"/>
        <v>48525.621087834297</v>
      </c>
      <c r="BK10" s="21">
        <v>2500</v>
      </c>
      <c r="BL10" s="20">
        <f t="shared" si="40"/>
        <v>51025.621087834297</v>
      </c>
      <c r="BM10" s="20">
        <f t="shared" si="41"/>
        <v>62251.257727157841</v>
      </c>
      <c r="BN10" s="21">
        <v>2500</v>
      </c>
      <c r="BO10" s="20">
        <f t="shared" si="42"/>
        <v>64751.257727157841</v>
      </c>
      <c r="BP10" s="20">
        <f t="shared" si="43"/>
        <v>71226.383499873627</v>
      </c>
      <c r="BQ10" s="21">
        <v>3000</v>
      </c>
      <c r="BR10" s="20">
        <f t="shared" si="44"/>
        <v>74226.383499873627</v>
      </c>
      <c r="BS10" s="20">
        <f t="shared" si="45"/>
        <v>81649.02184986099</v>
      </c>
      <c r="BT10" s="21">
        <v>35000</v>
      </c>
      <c r="BU10" s="20">
        <f t="shared" si="82"/>
        <v>116649.02184986099</v>
      </c>
      <c r="BV10" s="20">
        <f t="shared" si="46"/>
        <v>130646.90447184432</v>
      </c>
      <c r="BW10" s="21">
        <f t="shared" si="71"/>
        <v>5500</v>
      </c>
      <c r="BX10" s="20">
        <f t="shared" si="47"/>
        <v>136146.90447184432</v>
      </c>
      <c r="BY10" s="20">
        <f t="shared" si="48"/>
        <v>159291.87823205785</v>
      </c>
      <c r="BZ10" s="21">
        <f t="shared" si="72"/>
        <v>10500</v>
      </c>
      <c r="CA10" s="20">
        <f t="shared" si="49"/>
        <v>169791.87823205785</v>
      </c>
      <c r="CB10" s="20">
        <f t="shared" si="50"/>
        <v>193562.74118454594</v>
      </c>
      <c r="CC10" s="21">
        <f t="shared" si="73"/>
        <v>11000</v>
      </c>
      <c r="CD10" s="20">
        <f t="shared" si="51"/>
        <v>204562.74118454594</v>
      </c>
      <c r="CE10" s="20">
        <f t="shared" si="52"/>
        <v>229110.27012669147</v>
      </c>
      <c r="CF10" s="21">
        <f t="shared" si="74"/>
        <v>147592.61027560628</v>
      </c>
      <c r="CG10" s="20">
        <f t="shared" si="53"/>
        <v>376702.88040229771</v>
      </c>
      <c r="CH10" s="20">
        <f t="shared" si="54"/>
        <v>414373.16844252753</v>
      </c>
      <c r="CI10" s="21">
        <f t="shared" si="75"/>
        <v>471479.30203548359</v>
      </c>
      <c r="CJ10" s="20">
        <f t="shared" si="55"/>
        <v>885852.47047801106</v>
      </c>
      <c r="CK10" s="20">
        <f t="shared" si="56"/>
        <v>1001013.2916401525</v>
      </c>
      <c r="CL10" s="21">
        <f t="shared" si="76"/>
        <v>1528041.3917494551</v>
      </c>
      <c r="CM10" s="20">
        <f t="shared" si="57"/>
        <v>2529054.6833896078</v>
      </c>
      <c r="CN10" s="20">
        <f t="shared" si="58"/>
        <v>2908412.885898049</v>
      </c>
      <c r="CO10" s="21">
        <f t="shared" si="77"/>
        <v>5025898.1759492634</v>
      </c>
      <c r="CP10" s="20">
        <f t="shared" si="59"/>
        <v>7934311.0618473124</v>
      </c>
      <c r="CQ10" s="20">
        <f t="shared" si="60"/>
        <v>9997231.937927613</v>
      </c>
      <c r="CR10" s="21">
        <f t="shared" si="78"/>
        <v>17431553.765688188</v>
      </c>
      <c r="CS10" s="20">
        <f t="shared" si="61"/>
        <v>27428785.7036158</v>
      </c>
      <c r="CT10" s="20">
        <f t="shared" si="79"/>
        <v>37851724.270989798</v>
      </c>
      <c r="CU10" s="21">
        <f t="shared" si="80"/>
        <v>64614366.029835999</v>
      </c>
      <c r="CV10" s="20">
        <f t="shared" si="62"/>
        <v>102466090.3008258</v>
      </c>
      <c r="CW10" s="20">
        <f t="shared" si="63"/>
        <v>123983969.26399922</v>
      </c>
      <c r="CX10" s="21">
        <f t="shared" si="81"/>
        <v>71000</v>
      </c>
      <c r="CY10" s="20">
        <f t="shared" si="64"/>
        <v>124054969.26399922</v>
      </c>
      <c r="CZ10" s="20">
        <f t="shared" si="65"/>
        <v>151347062.50207904</v>
      </c>
      <c r="DA10" s="21">
        <v>71000</v>
      </c>
      <c r="DB10" s="20">
        <f t="shared" si="66"/>
        <v>151418062.50207904</v>
      </c>
      <c r="DC10" s="20">
        <f t="shared" si="67"/>
        <v>199871842.50274435</v>
      </c>
      <c r="DD10" s="21">
        <v>95000</v>
      </c>
      <c r="DE10" s="20">
        <f t="shared" si="68"/>
        <v>199966842.50274435</v>
      </c>
      <c r="DF10" s="20">
        <f t="shared" si="69"/>
        <v>289951921.62897927</v>
      </c>
      <c r="DG10" s="21">
        <v>167667</v>
      </c>
      <c r="DH10" s="20">
        <f t="shared" si="70"/>
        <v>290119588.62897927</v>
      </c>
    </row>
    <row r="11" spans="1:112">
      <c r="A11" s="25">
        <v>7</v>
      </c>
      <c r="B11" s="20">
        <v>0</v>
      </c>
      <c r="C11" s="21">
        <v>90</v>
      </c>
      <c r="D11" s="20">
        <f t="shared" si="0"/>
        <v>90</v>
      </c>
      <c r="E11" s="20">
        <f t="shared" si="1"/>
        <v>100.80000000000001</v>
      </c>
      <c r="F11" s="20">
        <v>90</v>
      </c>
      <c r="G11" s="20">
        <f t="shared" si="2"/>
        <v>190.8</v>
      </c>
      <c r="H11" s="20">
        <f t="shared" si="3"/>
        <v>209.88000000000002</v>
      </c>
      <c r="I11" s="20">
        <v>90</v>
      </c>
      <c r="J11" s="20">
        <f t="shared" si="4"/>
        <v>299.88</v>
      </c>
      <c r="K11" s="20">
        <f t="shared" si="5"/>
        <v>338.86439999999999</v>
      </c>
      <c r="L11" s="20">
        <v>90</v>
      </c>
      <c r="M11" s="20">
        <f t="shared" si="6"/>
        <v>428.86439999999999</v>
      </c>
      <c r="N11" s="20">
        <f t="shared" si="7"/>
        <v>493.19405999999992</v>
      </c>
      <c r="O11" s="20">
        <v>110</v>
      </c>
      <c r="P11" s="20">
        <f t="shared" si="8"/>
        <v>603.19405999999992</v>
      </c>
      <c r="Q11" s="20">
        <f t="shared" si="9"/>
        <v>760.02451559999986</v>
      </c>
      <c r="R11" s="20">
        <v>130</v>
      </c>
      <c r="S11" s="20">
        <f t="shared" si="10"/>
        <v>890.02451559999986</v>
      </c>
      <c r="T11" s="20">
        <f t="shared" si="11"/>
        <v>1228.2338315279997</v>
      </c>
      <c r="U11" s="20">
        <v>71</v>
      </c>
      <c r="V11" s="20">
        <f t="shared" si="12"/>
        <v>1299.2338315279997</v>
      </c>
      <c r="W11" s="20">
        <f t="shared" si="13"/>
        <v>1572.0729361488795</v>
      </c>
      <c r="X11" s="20">
        <v>155</v>
      </c>
      <c r="Y11" s="20">
        <f t="shared" si="14"/>
        <v>1727.0729361488795</v>
      </c>
      <c r="Z11" s="20">
        <f t="shared" si="15"/>
        <v>2107.0289821016331</v>
      </c>
      <c r="AA11" s="20">
        <v>180</v>
      </c>
      <c r="AB11" s="20">
        <f t="shared" si="16"/>
        <v>2287.0289821016331</v>
      </c>
      <c r="AC11" s="20">
        <f t="shared" si="17"/>
        <v>3018.8782563741561</v>
      </c>
      <c r="AD11" s="20">
        <v>240</v>
      </c>
      <c r="AE11" s="20">
        <f t="shared" si="18"/>
        <v>3258.8782563741561</v>
      </c>
      <c r="AF11" s="20">
        <f t="shared" si="19"/>
        <v>4725.3734717425259</v>
      </c>
      <c r="AG11" s="20">
        <v>410</v>
      </c>
      <c r="AH11" s="20">
        <f t="shared" si="20"/>
        <v>5135.3734717425259</v>
      </c>
      <c r="AI11" s="20">
        <f t="shared" si="21"/>
        <v>5751.6182883516294</v>
      </c>
      <c r="AJ11" s="20">
        <v>500</v>
      </c>
      <c r="AK11" s="20">
        <f t="shared" si="22"/>
        <v>6251.6182883516294</v>
      </c>
      <c r="AL11" s="20">
        <f t="shared" si="23"/>
        <v>7314.3933973714056</v>
      </c>
      <c r="AM11" s="20">
        <v>610</v>
      </c>
      <c r="AN11" s="20">
        <f t="shared" si="24"/>
        <v>7924.3933973714056</v>
      </c>
      <c r="AO11" s="20">
        <f t="shared" si="25"/>
        <v>9033.8084730034025</v>
      </c>
      <c r="AP11" s="20">
        <v>740</v>
      </c>
      <c r="AQ11" s="20">
        <f t="shared" si="26"/>
        <v>9773.8084730034025</v>
      </c>
      <c r="AR11" s="20">
        <f>AQ11*1.12</f>
        <v>10946.665489763811</v>
      </c>
      <c r="AS11" s="20">
        <v>930</v>
      </c>
      <c r="AT11" s="20">
        <f>AS11+AR11</f>
        <v>11876.665489763811</v>
      </c>
      <c r="AU11" s="20">
        <f t="shared" si="29"/>
        <v>13064.332038740193</v>
      </c>
      <c r="AV11" s="20">
        <v>1050</v>
      </c>
      <c r="AW11" s="20">
        <f t="shared" si="30"/>
        <v>14114.332038740193</v>
      </c>
      <c r="AX11" s="20">
        <f t="shared" si="31"/>
        <v>15949.195203776417</v>
      </c>
      <c r="AY11" s="20">
        <v>1550</v>
      </c>
      <c r="AZ11" s="20">
        <f t="shared" si="32"/>
        <v>17499.195203776417</v>
      </c>
      <c r="BA11" s="20">
        <f t="shared" si="33"/>
        <v>20124.074484342877</v>
      </c>
      <c r="BB11" s="20">
        <v>1550</v>
      </c>
      <c r="BC11" s="20">
        <f t="shared" si="34"/>
        <v>21674.074484342877</v>
      </c>
      <c r="BD11" s="20">
        <f t="shared" si="35"/>
        <v>27309.333850272025</v>
      </c>
      <c r="BE11" s="20">
        <v>1550</v>
      </c>
      <c r="BF11" s="20">
        <f t="shared" si="36"/>
        <v>28859.333850272025</v>
      </c>
      <c r="BG11" s="20">
        <f t="shared" si="37"/>
        <v>39825.880713375394</v>
      </c>
      <c r="BH11" s="20">
        <v>1550</v>
      </c>
      <c r="BI11" s="20">
        <f t="shared" si="38"/>
        <v>41375.880713375394</v>
      </c>
      <c r="BJ11" s="20">
        <f t="shared" si="39"/>
        <v>50064.815663184228</v>
      </c>
      <c r="BK11" s="20">
        <v>2600</v>
      </c>
      <c r="BL11" s="20">
        <f t="shared" si="40"/>
        <v>52664.815663184228</v>
      </c>
      <c r="BM11" s="20">
        <f t="shared" si="41"/>
        <v>64251.075109084755</v>
      </c>
      <c r="BN11" s="20">
        <v>2600</v>
      </c>
      <c r="BO11" s="20">
        <f t="shared" si="42"/>
        <v>66851.075109084748</v>
      </c>
      <c r="BP11" s="20">
        <f t="shared" si="43"/>
        <v>73536.182619993226</v>
      </c>
      <c r="BQ11" s="20">
        <v>3100</v>
      </c>
      <c r="BR11" s="20">
        <f t="shared" si="44"/>
        <v>76636.182619993226</v>
      </c>
      <c r="BS11" s="20">
        <f t="shared" si="45"/>
        <v>84299.80088199256</v>
      </c>
      <c r="BT11" s="21">
        <v>36000</v>
      </c>
      <c r="BU11" s="20">
        <f t="shared" si="82"/>
        <v>120299.80088199256</v>
      </c>
      <c r="BV11" s="20">
        <f t="shared" si="46"/>
        <v>134735.77698783169</v>
      </c>
      <c r="BW11" s="21">
        <f t="shared" si="71"/>
        <v>5600</v>
      </c>
      <c r="BX11" s="20">
        <f t="shared" si="47"/>
        <v>140335.77698783169</v>
      </c>
      <c r="BY11" s="20">
        <f t="shared" si="48"/>
        <v>164192.85907576306</v>
      </c>
      <c r="BZ11" s="21">
        <f t="shared" si="72"/>
        <v>10600</v>
      </c>
      <c r="CA11" s="20">
        <f t="shared" si="49"/>
        <v>174792.85907576306</v>
      </c>
      <c r="CB11" s="20">
        <f t="shared" si="50"/>
        <v>199263.85934636986</v>
      </c>
      <c r="CC11" s="21">
        <f t="shared" si="73"/>
        <v>11200</v>
      </c>
      <c r="CD11" s="20">
        <f t="shared" si="51"/>
        <v>210463.85934636986</v>
      </c>
      <c r="CE11" s="20">
        <f t="shared" si="52"/>
        <v>235719.52246793426</v>
      </c>
      <c r="CF11" s="21">
        <f t="shared" si="74"/>
        <v>147792.61027560628</v>
      </c>
      <c r="CG11" s="20">
        <f t="shared" si="53"/>
        <v>383512.13274354057</v>
      </c>
      <c r="CH11" s="20">
        <f t="shared" si="54"/>
        <v>421863.34601789468</v>
      </c>
      <c r="CI11" s="21">
        <f t="shared" si="75"/>
        <v>471679.30203548359</v>
      </c>
      <c r="CJ11" s="20">
        <f t="shared" si="55"/>
        <v>893542.64805337833</v>
      </c>
      <c r="CK11" s="20">
        <f t="shared" si="56"/>
        <v>1009703.1923003175</v>
      </c>
      <c r="CL11" s="21">
        <f t="shared" si="76"/>
        <v>1528241.3917494551</v>
      </c>
      <c r="CM11" s="20">
        <f t="shared" si="57"/>
        <v>2537944.5840497725</v>
      </c>
      <c r="CN11" s="20">
        <f t="shared" si="58"/>
        <v>2918636.2716572382</v>
      </c>
      <c r="CO11" s="21">
        <f t="shared" si="77"/>
        <v>5026098.1759492634</v>
      </c>
      <c r="CP11" s="20">
        <f t="shared" si="59"/>
        <v>7944734.4476065021</v>
      </c>
      <c r="CQ11" s="20">
        <f t="shared" si="60"/>
        <v>10010365.403984193</v>
      </c>
      <c r="CR11" s="21">
        <f t="shared" si="78"/>
        <v>17431753.765688188</v>
      </c>
      <c r="CS11" s="20">
        <f t="shared" si="61"/>
        <v>27442119.169672381</v>
      </c>
      <c r="CT11" s="20">
        <f t="shared" si="79"/>
        <v>37870124.454147883</v>
      </c>
      <c r="CU11" s="21">
        <f t="shared" si="80"/>
        <v>64614566.029835999</v>
      </c>
      <c r="CV11" s="20">
        <f t="shared" si="62"/>
        <v>102484690.48398387</v>
      </c>
      <c r="CW11" s="20">
        <f t="shared" si="63"/>
        <v>124006475.48562048</v>
      </c>
      <c r="CX11" s="21">
        <f t="shared" si="81"/>
        <v>71200</v>
      </c>
      <c r="CY11" s="20">
        <f t="shared" si="64"/>
        <v>124077675.48562048</v>
      </c>
      <c r="CZ11" s="20">
        <f t="shared" si="65"/>
        <v>151374764.092457</v>
      </c>
      <c r="DA11" s="21">
        <v>71200</v>
      </c>
      <c r="DB11" s="20">
        <f t="shared" si="66"/>
        <v>151445964.092457</v>
      </c>
      <c r="DC11" s="20">
        <f t="shared" si="67"/>
        <v>199908672.60204324</v>
      </c>
      <c r="DD11" s="20">
        <v>95200</v>
      </c>
      <c r="DE11" s="20">
        <f t="shared" si="68"/>
        <v>200003872.60204324</v>
      </c>
      <c r="DF11" s="20">
        <f t="shared" si="69"/>
        <v>290005615.27296269</v>
      </c>
      <c r="DG11" s="20">
        <v>167867</v>
      </c>
      <c r="DH11" s="20">
        <f t="shared" si="70"/>
        <v>290173482.27296269</v>
      </c>
    </row>
    <row r="12" spans="1:112">
      <c r="A12" s="25">
        <v>8</v>
      </c>
      <c r="B12" s="20">
        <v>0</v>
      </c>
      <c r="C12" s="21">
        <v>95</v>
      </c>
      <c r="D12" s="20">
        <f t="shared" si="0"/>
        <v>95</v>
      </c>
      <c r="E12" s="20">
        <f t="shared" si="1"/>
        <v>106.4</v>
      </c>
      <c r="F12" s="21">
        <v>95</v>
      </c>
      <c r="G12" s="20">
        <f t="shared" si="2"/>
        <v>201.4</v>
      </c>
      <c r="H12" s="20">
        <f t="shared" si="3"/>
        <v>221.54000000000002</v>
      </c>
      <c r="I12" s="21">
        <v>95</v>
      </c>
      <c r="J12" s="20">
        <f t="shared" si="4"/>
        <v>316.54000000000002</v>
      </c>
      <c r="K12" s="20">
        <f t="shared" si="5"/>
        <v>357.6902</v>
      </c>
      <c r="L12" s="21">
        <v>95</v>
      </c>
      <c r="M12" s="20">
        <f t="shared" si="6"/>
        <v>452.6902</v>
      </c>
      <c r="N12" s="20">
        <f t="shared" si="7"/>
        <v>520.59372999999994</v>
      </c>
      <c r="O12" s="21">
        <v>115</v>
      </c>
      <c r="P12" s="20">
        <f t="shared" si="8"/>
        <v>635.59372999999994</v>
      </c>
      <c r="Q12" s="20">
        <f t="shared" si="9"/>
        <v>800.84809979999989</v>
      </c>
      <c r="R12" s="21">
        <v>135</v>
      </c>
      <c r="S12" s="20">
        <f t="shared" si="10"/>
        <v>935.84809979999989</v>
      </c>
      <c r="T12" s="20">
        <f t="shared" si="11"/>
        <v>1291.4703777239997</v>
      </c>
      <c r="U12" s="20">
        <v>72</v>
      </c>
      <c r="V12" s="20">
        <f t="shared" si="12"/>
        <v>1363.4703777239997</v>
      </c>
      <c r="W12" s="20">
        <f t="shared" si="13"/>
        <v>1649.7991570460397</v>
      </c>
      <c r="X12" s="21">
        <v>160</v>
      </c>
      <c r="Y12" s="20">
        <f t="shared" si="14"/>
        <v>1809.7991570460397</v>
      </c>
      <c r="Z12" s="20">
        <f t="shared" si="15"/>
        <v>2207.9549715961684</v>
      </c>
      <c r="AA12" s="21">
        <v>185</v>
      </c>
      <c r="AB12" s="20">
        <f t="shared" si="16"/>
        <v>2392.9549715961684</v>
      </c>
      <c r="AC12" s="20">
        <f t="shared" si="17"/>
        <v>3158.7005625069423</v>
      </c>
      <c r="AD12" s="21">
        <v>245</v>
      </c>
      <c r="AE12" s="20">
        <f t="shared" si="18"/>
        <v>3403.7005625069423</v>
      </c>
      <c r="AF12" s="20">
        <f t="shared" si="19"/>
        <v>4935.3658156350666</v>
      </c>
      <c r="AG12" s="21">
        <v>415</v>
      </c>
      <c r="AH12" s="20">
        <f t="shared" si="20"/>
        <v>5350.3658156350666</v>
      </c>
      <c r="AI12" s="20">
        <f t="shared" si="21"/>
        <v>5992.4097135112752</v>
      </c>
      <c r="AJ12" s="21">
        <v>505</v>
      </c>
      <c r="AK12" s="20">
        <f t="shared" si="22"/>
        <v>6497.4097135112752</v>
      </c>
      <c r="AL12" s="20">
        <f t="shared" si="23"/>
        <v>7601.9693648081911</v>
      </c>
      <c r="AM12" s="21">
        <v>615</v>
      </c>
      <c r="AN12" s="20">
        <f t="shared" si="24"/>
        <v>8216.969364808192</v>
      </c>
      <c r="AO12" s="20">
        <f t="shared" si="25"/>
        <v>9367.3450758813378</v>
      </c>
      <c r="AP12" s="21">
        <v>745</v>
      </c>
      <c r="AQ12" s="20">
        <f t="shared" si="26"/>
        <v>10112.345075881338</v>
      </c>
      <c r="AR12" s="20">
        <f t="shared" si="27"/>
        <v>11325.826484987099</v>
      </c>
      <c r="AS12" s="21">
        <v>935</v>
      </c>
      <c r="AT12" s="20">
        <f t="shared" si="28"/>
        <v>12260.826484987099</v>
      </c>
      <c r="AU12" s="20">
        <f t="shared" si="29"/>
        <v>13486.909133485809</v>
      </c>
      <c r="AV12" s="21">
        <v>1055</v>
      </c>
      <c r="AW12" s="20">
        <f t="shared" si="30"/>
        <v>14541.909133485809</v>
      </c>
      <c r="AX12" s="20">
        <f t="shared" si="31"/>
        <v>16432.357320838964</v>
      </c>
      <c r="AY12" s="21">
        <v>1600</v>
      </c>
      <c r="AZ12" s="20">
        <f t="shared" si="32"/>
        <v>18032.357320838964</v>
      </c>
      <c r="BA12" s="20">
        <f t="shared" si="33"/>
        <v>20737.210918964807</v>
      </c>
      <c r="BB12" s="21">
        <v>1600</v>
      </c>
      <c r="BC12" s="20">
        <f t="shared" si="34"/>
        <v>22337.210918964807</v>
      </c>
      <c r="BD12" s="20">
        <f t="shared" si="35"/>
        <v>28144.885757895656</v>
      </c>
      <c r="BE12" s="21">
        <v>1600</v>
      </c>
      <c r="BF12" s="20">
        <f t="shared" si="36"/>
        <v>29744.885757895656</v>
      </c>
      <c r="BG12" s="20">
        <f t="shared" si="37"/>
        <v>41047.942345896001</v>
      </c>
      <c r="BH12" s="21">
        <v>1600</v>
      </c>
      <c r="BI12" s="20">
        <f t="shared" si="38"/>
        <v>42647.942345896001</v>
      </c>
      <c r="BJ12" s="20">
        <f t="shared" si="39"/>
        <v>51604.01023853416</v>
      </c>
      <c r="BK12" s="21">
        <v>2700</v>
      </c>
      <c r="BL12" s="20">
        <f t="shared" si="40"/>
        <v>54304.01023853416</v>
      </c>
      <c r="BM12" s="20">
        <f t="shared" si="41"/>
        <v>66250.892491011677</v>
      </c>
      <c r="BN12" s="21">
        <v>2700</v>
      </c>
      <c r="BO12" s="20">
        <f t="shared" si="42"/>
        <v>68950.892491011677</v>
      </c>
      <c r="BP12" s="20">
        <f t="shared" si="43"/>
        <v>75845.981740112853</v>
      </c>
      <c r="BQ12" s="21">
        <v>3200</v>
      </c>
      <c r="BR12" s="20">
        <f t="shared" si="44"/>
        <v>79045.981740112853</v>
      </c>
      <c r="BS12" s="20">
        <f t="shared" si="45"/>
        <v>86950.579914124144</v>
      </c>
      <c r="BT12" s="21">
        <v>37000</v>
      </c>
      <c r="BU12" s="20">
        <f t="shared" si="82"/>
        <v>123950.57991412414</v>
      </c>
      <c r="BV12" s="20">
        <f t="shared" si="46"/>
        <v>138824.64950381906</v>
      </c>
      <c r="BW12" s="21">
        <f t="shared" si="71"/>
        <v>5700</v>
      </c>
      <c r="BX12" s="20">
        <f t="shared" si="47"/>
        <v>144524.64950381906</v>
      </c>
      <c r="BY12" s="20">
        <f t="shared" si="48"/>
        <v>169093.8399194683</v>
      </c>
      <c r="BZ12" s="21">
        <f t="shared" si="72"/>
        <v>10700</v>
      </c>
      <c r="CA12" s="20">
        <f t="shared" si="49"/>
        <v>179793.8399194683</v>
      </c>
      <c r="CB12" s="20">
        <f t="shared" si="50"/>
        <v>204964.97750819384</v>
      </c>
      <c r="CC12" s="21">
        <f t="shared" si="73"/>
        <v>11400</v>
      </c>
      <c r="CD12" s="20">
        <f t="shared" si="51"/>
        <v>216364.97750819384</v>
      </c>
      <c r="CE12" s="20">
        <f t="shared" si="52"/>
        <v>242328.77480917712</v>
      </c>
      <c r="CF12" s="21">
        <f t="shared" si="74"/>
        <v>147992.61027560628</v>
      </c>
      <c r="CG12" s="20">
        <f t="shared" si="53"/>
        <v>390321.38508478343</v>
      </c>
      <c r="CH12" s="20">
        <f t="shared" si="54"/>
        <v>429353.52359326178</v>
      </c>
      <c r="CI12" s="21">
        <f t="shared" si="75"/>
        <v>471879.30203548359</v>
      </c>
      <c r="CJ12" s="20">
        <f t="shared" si="55"/>
        <v>901232.82562874537</v>
      </c>
      <c r="CK12" s="20">
        <f t="shared" si="56"/>
        <v>1018393.0929604821</v>
      </c>
      <c r="CL12" s="21">
        <f t="shared" si="76"/>
        <v>1528441.3917494551</v>
      </c>
      <c r="CM12" s="20">
        <f t="shared" si="57"/>
        <v>2546834.4847099371</v>
      </c>
      <c r="CN12" s="20">
        <f t="shared" si="58"/>
        <v>2928859.6574164275</v>
      </c>
      <c r="CO12" s="21">
        <f t="shared" si="77"/>
        <v>5026298.1759492634</v>
      </c>
      <c r="CP12" s="20">
        <f t="shared" si="59"/>
        <v>7955157.8333656909</v>
      </c>
      <c r="CQ12" s="20">
        <f t="shared" si="60"/>
        <v>10023498.870040771</v>
      </c>
      <c r="CR12" s="21">
        <f t="shared" si="78"/>
        <v>17431953.765688188</v>
      </c>
      <c r="CS12" s="20">
        <f t="shared" si="61"/>
        <v>27455452.635728959</v>
      </c>
      <c r="CT12" s="20">
        <f t="shared" si="79"/>
        <v>37888524.63730596</v>
      </c>
      <c r="CU12" s="21">
        <f t="shared" si="80"/>
        <v>64614766.029835999</v>
      </c>
      <c r="CV12" s="20">
        <f t="shared" si="62"/>
        <v>102503290.66714196</v>
      </c>
      <c r="CW12" s="20">
        <f t="shared" si="63"/>
        <v>124028981.70724177</v>
      </c>
      <c r="CX12" s="21">
        <f t="shared" si="81"/>
        <v>71400</v>
      </c>
      <c r="CY12" s="20">
        <f t="shared" si="64"/>
        <v>124100381.70724177</v>
      </c>
      <c r="CZ12" s="20">
        <f t="shared" si="65"/>
        <v>151402465.68283495</v>
      </c>
      <c r="DA12" s="21">
        <v>71400</v>
      </c>
      <c r="DB12" s="20">
        <f t="shared" si="66"/>
        <v>151473865.68283495</v>
      </c>
      <c r="DC12" s="20">
        <f t="shared" si="67"/>
        <v>199945502.70134214</v>
      </c>
      <c r="DD12" s="21">
        <v>95400</v>
      </c>
      <c r="DE12" s="20">
        <f t="shared" si="68"/>
        <v>200040902.70134214</v>
      </c>
      <c r="DF12" s="20">
        <f t="shared" si="69"/>
        <v>290059308.91694611</v>
      </c>
      <c r="DG12" s="21">
        <v>168067</v>
      </c>
      <c r="DH12" s="20">
        <f t="shared" si="70"/>
        <v>290227375.91694611</v>
      </c>
    </row>
    <row r="13" spans="1:112">
      <c r="A13" s="25">
        <v>9</v>
      </c>
      <c r="B13" s="20">
        <v>0</v>
      </c>
      <c r="C13" s="21">
        <v>100</v>
      </c>
      <c r="D13" s="20">
        <f t="shared" si="0"/>
        <v>100</v>
      </c>
      <c r="E13" s="20">
        <f t="shared" si="1"/>
        <v>112.00000000000001</v>
      </c>
      <c r="F13" s="20">
        <v>100</v>
      </c>
      <c r="G13" s="20">
        <f t="shared" si="2"/>
        <v>212</v>
      </c>
      <c r="H13" s="20">
        <f t="shared" si="3"/>
        <v>233.20000000000002</v>
      </c>
      <c r="I13" s="20">
        <v>100</v>
      </c>
      <c r="J13" s="20">
        <f t="shared" si="4"/>
        <v>333.20000000000005</v>
      </c>
      <c r="K13" s="20">
        <f t="shared" si="5"/>
        <v>376.51600000000002</v>
      </c>
      <c r="L13" s="20">
        <v>100</v>
      </c>
      <c r="M13" s="20">
        <f t="shared" si="6"/>
        <v>476.51600000000002</v>
      </c>
      <c r="N13" s="20">
        <f t="shared" si="7"/>
        <v>547.99339999999995</v>
      </c>
      <c r="O13" s="20">
        <v>120</v>
      </c>
      <c r="P13" s="20">
        <f t="shared" si="8"/>
        <v>667.99339999999995</v>
      </c>
      <c r="Q13" s="20">
        <f t="shared" si="9"/>
        <v>841.67168399999991</v>
      </c>
      <c r="R13" s="20">
        <v>140</v>
      </c>
      <c r="S13" s="20">
        <f t="shared" si="10"/>
        <v>981.67168399999991</v>
      </c>
      <c r="T13" s="20">
        <f t="shared" si="11"/>
        <v>1354.7069239199998</v>
      </c>
      <c r="U13" s="20">
        <v>73</v>
      </c>
      <c r="V13" s="20">
        <f t="shared" si="12"/>
        <v>1427.7069239199998</v>
      </c>
      <c r="W13" s="20">
        <f t="shared" si="13"/>
        <v>1727.5253779431996</v>
      </c>
      <c r="X13" s="20">
        <v>165</v>
      </c>
      <c r="Y13" s="20">
        <f t="shared" si="14"/>
        <v>1892.5253779431996</v>
      </c>
      <c r="Z13" s="20">
        <f t="shared" si="15"/>
        <v>2308.8809610907033</v>
      </c>
      <c r="AA13" s="20">
        <v>190</v>
      </c>
      <c r="AB13" s="20">
        <f t="shared" si="16"/>
        <v>2498.8809610907033</v>
      </c>
      <c r="AC13" s="20">
        <f t="shared" si="17"/>
        <v>3298.5228686397286</v>
      </c>
      <c r="AD13" s="20">
        <v>250</v>
      </c>
      <c r="AE13" s="20">
        <f t="shared" si="18"/>
        <v>3548.5228686397286</v>
      </c>
      <c r="AF13" s="20">
        <f t="shared" si="19"/>
        <v>5145.3581595276064</v>
      </c>
      <c r="AG13" s="20">
        <v>420</v>
      </c>
      <c r="AH13" s="20">
        <f t="shared" si="20"/>
        <v>5565.3581595276064</v>
      </c>
      <c r="AI13" s="20">
        <f t="shared" si="21"/>
        <v>6233.20113867092</v>
      </c>
      <c r="AJ13" s="20">
        <v>510</v>
      </c>
      <c r="AK13" s="20">
        <f t="shared" si="22"/>
        <v>6743.20113867092</v>
      </c>
      <c r="AL13" s="20">
        <f t="shared" si="23"/>
        <v>7889.5453322449757</v>
      </c>
      <c r="AM13" s="20">
        <v>620</v>
      </c>
      <c r="AN13" s="20">
        <f t="shared" si="24"/>
        <v>8509.5453322449757</v>
      </c>
      <c r="AO13" s="20">
        <f t="shared" si="25"/>
        <v>9700.8816787592714</v>
      </c>
      <c r="AP13" s="20">
        <v>750</v>
      </c>
      <c r="AQ13" s="20">
        <f t="shared" si="26"/>
        <v>10450.881678759271</v>
      </c>
      <c r="AR13" s="20">
        <f t="shared" si="27"/>
        <v>11704.987480210386</v>
      </c>
      <c r="AS13" s="20">
        <v>940</v>
      </c>
      <c r="AT13" s="20">
        <f t="shared" si="28"/>
        <v>12644.987480210386</v>
      </c>
      <c r="AU13" s="20">
        <f t="shared" si="29"/>
        <v>13909.486228231426</v>
      </c>
      <c r="AV13" s="20">
        <v>1060</v>
      </c>
      <c r="AW13" s="20">
        <f t="shared" si="30"/>
        <v>14969.486228231426</v>
      </c>
      <c r="AX13" s="20">
        <f t="shared" si="31"/>
        <v>16915.519437901508</v>
      </c>
      <c r="AY13" s="20">
        <v>1650</v>
      </c>
      <c r="AZ13" s="20">
        <f t="shared" si="32"/>
        <v>18565.519437901508</v>
      </c>
      <c r="BA13" s="20">
        <f t="shared" si="33"/>
        <v>21350.347353586734</v>
      </c>
      <c r="BB13" s="20">
        <v>1650</v>
      </c>
      <c r="BC13" s="20">
        <f t="shared" si="34"/>
        <v>23000.347353586734</v>
      </c>
      <c r="BD13" s="20">
        <f t="shared" si="35"/>
        <v>28980.437665519286</v>
      </c>
      <c r="BE13" s="20">
        <v>1650</v>
      </c>
      <c r="BF13" s="20">
        <f t="shared" si="36"/>
        <v>30630.437665519286</v>
      </c>
      <c r="BG13" s="20">
        <f t="shared" si="37"/>
        <v>42270.003978416615</v>
      </c>
      <c r="BH13" s="20">
        <v>1650</v>
      </c>
      <c r="BI13" s="20">
        <f t="shared" si="38"/>
        <v>43920.003978416615</v>
      </c>
      <c r="BJ13" s="20">
        <f t="shared" si="39"/>
        <v>53143.204813884106</v>
      </c>
      <c r="BK13" s="20">
        <v>2800</v>
      </c>
      <c r="BL13" s="20">
        <f t="shared" si="40"/>
        <v>55943.204813884106</v>
      </c>
      <c r="BM13" s="20">
        <f t="shared" si="41"/>
        <v>68250.709872938605</v>
      </c>
      <c r="BN13" s="20">
        <v>2800</v>
      </c>
      <c r="BO13" s="20">
        <f t="shared" si="42"/>
        <v>71050.709872938605</v>
      </c>
      <c r="BP13" s="20">
        <f t="shared" si="43"/>
        <v>78155.780860232466</v>
      </c>
      <c r="BQ13" s="20">
        <v>3300</v>
      </c>
      <c r="BR13" s="20">
        <f t="shared" si="44"/>
        <v>81455.780860232466</v>
      </c>
      <c r="BS13" s="20">
        <f t="shared" si="45"/>
        <v>89601.358946255714</v>
      </c>
      <c r="BT13" s="21">
        <v>38000</v>
      </c>
      <c r="BU13" s="20">
        <f t="shared" si="82"/>
        <v>127601.35894625571</v>
      </c>
      <c r="BV13" s="20">
        <f t="shared" si="46"/>
        <v>142913.52201980641</v>
      </c>
      <c r="BW13" s="21">
        <f t="shared" si="71"/>
        <v>5800</v>
      </c>
      <c r="BX13" s="20">
        <f t="shared" si="47"/>
        <v>148713.52201980641</v>
      </c>
      <c r="BY13" s="20">
        <f t="shared" si="48"/>
        <v>173994.82076317348</v>
      </c>
      <c r="BZ13" s="21">
        <f t="shared" si="72"/>
        <v>10800</v>
      </c>
      <c r="CA13" s="20">
        <f t="shared" si="49"/>
        <v>184794.82076317348</v>
      </c>
      <c r="CB13" s="20">
        <f t="shared" si="50"/>
        <v>210666.09567001776</v>
      </c>
      <c r="CC13" s="21">
        <f t="shared" si="73"/>
        <v>11600</v>
      </c>
      <c r="CD13" s="20">
        <f t="shared" si="51"/>
        <v>222266.09567001776</v>
      </c>
      <c r="CE13" s="20">
        <f t="shared" si="52"/>
        <v>248938.02715041992</v>
      </c>
      <c r="CF13" s="21">
        <f t="shared" si="74"/>
        <v>148192.61027560628</v>
      </c>
      <c r="CG13" s="20">
        <f t="shared" si="53"/>
        <v>397130.63742602617</v>
      </c>
      <c r="CH13" s="20">
        <f t="shared" si="54"/>
        <v>436843.70116862882</v>
      </c>
      <c r="CI13" s="21">
        <f t="shared" si="75"/>
        <v>472079.30203548359</v>
      </c>
      <c r="CJ13" s="20">
        <f t="shared" si="55"/>
        <v>908923.00320411241</v>
      </c>
      <c r="CK13" s="20">
        <f t="shared" si="56"/>
        <v>1027082.9936206469</v>
      </c>
      <c r="CL13" s="21">
        <f t="shared" si="76"/>
        <v>1528641.3917494551</v>
      </c>
      <c r="CM13" s="20">
        <f t="shared" si="57"/>
        <v>2555724.3853701018</v>
      </c>
      <c r="CN13" s="20">
        <f t="shared" si="58"/>
        <v>2939083.0431756168</v>
      </c>
      <c r="CO13" s="21">
        <f t="shared" si="77"/>
        <v>5026498.1759492634</v>
      </c>
      <c r="CP13" s="20">
        <f t="shared" si="59"/>
        <v>7965581.2191248797</v>
      </c>
      <c r="CQ13" s="20">
        <f t="shared" si="60"/>
        <v>10036632.336097348</v>
      </c>
      <c r="CR13" s="21">
        <f t="shared" si="78"/>
        <v>17432153.765688188</v>
      </c>
      <c r="CS13" s="20">
        <f t="shared" si="61"/>
        <v>27468786.101785537</v>
      </c>
      <c r="CT13" s="20">
        <f t="shared" si="79"/>
        <v>37906924.820464037</v>
      </c>
      <c r="CU13" s="21">
        <f t="shared" si="80"/>
        <v>64614966.029835999</v>
      </c>
      <c r="CV13" s="20">
        <f t="shared" si="62"/>
        <v>102521890.85030004</v>
      </c>
      <c r="CW13" s="20">
        <f t="shared" si="63"/>
        <v>124051487.92886305</v>
      </c>
      <c r="CX13" s="21">
        <f t="shared" si="81"/>
        <v>71600</v>
      </c>
      <c r="CY13" s="20">
        <f t="shared" si="64"/>
        <v>124123087.92886305</v>
      </c>
      <c r="CZ13" s="20">
        <f t="shared" si="65"/>
        <v>151430167.27321291</v>
      </c>
      <c r="DA13" s="21">
        <v>71600</v>
      </c>
      <c r="DB13" s="20">
        <f t="shared" si="66"/>
        <v>151501767.27321291</v>
      </c>
      <c r="DC13" s="20">
        <f t="shared" si="67"/>
        <v>199982332.80064106</v>
      </c>
      <c r="DD13" s="21">
        <v>95600</v>
      </c>
      <c r="DE13" s="20">
        <f t="shared" si="68"/>
        <v>200077932.80064106</v>
      </c>
      <c r="DF13" s="20">
        <f t="shared" si="69"/>
        <v>290113002.56092954</v>
      </c>
      <c r="DG13" s="21">
        <v>168267</v>
      </c>
      <c r="DH13" s="20">
        <f t="shared" si="70"/>
        <v>290281269.56092954</v>
      </c>
    </row>
    <row r="14" spans="1:112">
      <c r="A14" s="25">
        <v>10</v>
      </c>
      <c r="B14" s="20">
        <v>0</v>
      </c>
      <c r="C14" s="21">
        <v>105</v>
      </c>
      <c r="D14" s="20">
        <f t="shared" si="0"/>
        <v>105</v>
      </c>
      <c r="E14" s="20">
        <f t="shared" si="1"/>
        <v>117.60000000000001</v>
      </c>
      <c r="F14" s="21">
        <v>105</v>
      </c>
      <c r="G14" s="20">
        <f t="shared" si="2"/>
        <v>222.60000000000002</v>
      </c>
      <c r="H14" s="20">
        <f t="shared" si="3"/>
        <v>244.86000000000004</v>
      </c>
      <c r="I14" s="21">
        <v>105</v>
      </c>
      <c r="J14" s="20">
        <f t="shared" si="4"/>
        <v>349.86</v>
      </c>
      <c r="K14" s="20">
        <f t="shared" si="5"/>
        <v>395.34179999999998</v>
      </c>
      <c r="L14" s="21">
        <v>105</v>
      </c>
      <c r="M14" s="20">
        <f t="shared" si="6"/>
        <v>500.34179999999998</v>
      </c>
      <c r="N14" s="20">
        <f t="shared" si="7"/>
        <v>575.39306999999997</v>
      </c>
      <c r="O14" s="21">
        <v>125</v>
      </c>
      <c r="P14" s="20">
        <f t="shared" si="8"/>
        <v>700.39306999999997</v>
      </c>
      <c r="Q14" s="20">
        <f t="shared" si="9"/>
        <v>882.49526819999994</v>
      </c>
      <c r="R14" s="21">
        <v>145</v>
      </c>
      <c r="S14" s="20">
        <f t="shared" si="10"/>
        <v>1027.4952681999998</v>
      </c>
      <c r="T14" s="20">
        <f t="shared" si="11"/>
        <v>1417.9434701159996</v>
      </c>
      <c r="U14" s="20">
        <v>74</v>
      </c>
      <c r="V14" s="20">
        <f t="shared" si="12"/>
        <v>1491.9434701159996</v>
      </c>
      <c r="W14" s="20">
        <f t="shared" si="13"/>
        <v>1805.2515988403595</v>
      </c>
      <c r="X14" s="21">
        <v>170</v>
      </c>
      <c r="Y14" s="20">
        <f t="shared" si="14"/>
        <v>1975.2515988403595</v>
      </c>
      <c r="Z14" s="20">
        <f t="shared" si="15"/>
        <v>2409.8069505852386</v>
      </c>
      <c r="AA14" s="21">
        <v>195</v>
      </c>
      <c r="AB14" s="20">
        <f t="shared" si="16"/>
        <v>2604.8069505852386</v>
      </c>
      <c r="AC14" s="20">
        <f t="shared" si="17"/>
        <v>3438.3451747725153</v>
      </c>
      <c r="AD14" s="21">
        <v>255</v>
      </c>
      <c r="AE14" s="20">
        <f t="shared" si="18"/>
        <v>3693.3451747725153</v>
      </c>
      <c r="AF14" s="20">
        <f t="shared" si="19"/>
        <v>5355.3505034201471</v>
      </c>
      <c r="AG14" s="21">
        <v>425</v>
      </c>
      <c r="AH14" s="20">
        <f t="shared" si="20"/>
        <v>5780.3505034201471</v>
      </c>
      <c r="AI14" s="20">
        <f t="shared" si="21"/>
        <v>6473.9925638305658</v>
      </c>
      <c r="AJ14" s="21">
        <v>515</v>
      </c>
      <c r="AK14" s="20">
        <f t="shared" si="22"/>
        <v>6988.9925638305658</v>
      </c>
      <c r="AL14" s="20">
        <f t="shared" si="23"/>
        <v>8177.1212996817612</v>
      </c>
      <c r="AM14" s="21">
        <v>625</v>
      </c>
      <c r="AN14" s="20">
        <f t="shared" si="24"/>
        <v>8802.1212996817612</v>
      </c>
      <c r="AO14" s="20">
        <f t="shared" si="25"/>
        <v>10034.418281637207</v>
      </c>
      <c r="AP14" s="21">
        <v>755</v>
      </c>
      <c r="AQ14" s="20">
        <f t="shared" si="26"/>
        <v>10789.418281637207</v>
      </c>
      <c r="AR14" s="20">
        <f t="shared" si="27"/>
        <v>12084.148475433673</v>
      </c>
      <c r="AS14" s="21">
        <v>945</v>
      </c>
      <c r="AT14" s="20">
        <f t="shared" si="28"/>
        <v>13029.148475433673</v>
      </c>
      <c r="AU14" s="20">
        <f t="shared" si="29"/>
        <v>14332.063322977041</v>
      </c>
      <c r="AV14" s="21">
        <v>1065</v>
      </c>
      <c r="AW14" s="20">
        <f t="shared" si="30"/>
        <v>15397.063322977041</v>
      </c>
      <c r="AX14" s="20">
        <f t="shared" si="31"/>
        <v>17398.681554964056</v>
      </c>
      <c r="AY14" s="21">
        <v>1700</v>
      </c>
      <c r="AZ14" s="20">
        <f t="shared" si="32"/>
        <v>19098.681554964056</v>
      </c>
      <c r="BA14" s="20">
        <f t="shared" si="33"/>
        <v>21963.483788208661</v>
      </c>
      <c r="BB14" s="21">
        <v>1700</v>
      </c>
      <c r="BC14" s="20">
        <f t="shared" si="34"/>
        <v>23663.483788208661</v>
      </c>
      <c r="BD14" s="20">
        <f t="shared" si="35"/>
        <v>29815.989573142913</v>
      </c>
      <c r="BE14" s="21">
        <v>1700</v>
      </c>
      <c r="BF14" s="20">
        <f t="shared" si="36"/>
        <v>31515.989573142913</v>
      </c>
      <c r="BG14" s="20">
        <f t="shared" si="37"/>
        <v>43492.065610937214</v>
      </c>
      <c r="BH14" s="21">
        <v>1700</v>
      </c>
      <c r="BI14" s="20">
        <f t="shared" si="38"/>
        <v>45192.065610937214</v>
      </c>
      <c r="BJ14" s="20">
        <f t="shared" si="39"/>
        <v>54682.39938923403</v>
      </c>
      <c r="BK14" s="21">
        <v>2900</v>
      </c>
      <c r="BL14" s="20">
        <f t="shared" si="40"/>
        <v>57582.39938923403</v>
      </c>
      <c r="BM14" s="20">
        <f t="shared" si="41"/>
        <v>70250.527254865519</v>
      </c>
      <c r="BN14" s="21">
        <v>2900</v>
      </c>
      <c r="BO14" s="20">
        <f t="shared" si="42"/>
        <v>73150.527254865519</v>
      </c>
      <c r="BP14" s="20">
        <f t="shared" si="43"/>
        <v>80465.579980352079</v>
      </c>
      <c r="BQ14" s="21">
        <v>3400</v>
      </c>
      <c r="BR14" s="20">
        <f t="shared" si="44"/>
        <v>83865.579980352079</v>
      </c>
      <c r="BS14" s="20">
        <f t="shared" si="45"/>
        <v>92252.137978387298</v>
      </c>
      <c r="BT14" s="21">
        <v>39000</v>
      </c>
      <c r="BU14" s="20">
        <f t="shared" si="82"/>
        <v>131252.1379783873</v>
      </c>
      <c r="BV14" s="20">
        <f t="shared" si="46"/>
        <v>147002.39453579378</v>
      </c>
      <c r="BW14" s="21">
        <f t="shared" si="71"/>
        <v>5900</v>
      </c>
      <c r="BX14" s="20">
        <f t="shared" si="47"/>
        <v>152902.39453579378</v>
      </c>
      <c r="BY14" s="20">
        <f t="shared" si="48"/>
        <v>178895.8016068787</v>
      </c>
      <c r="BZ14" s="21">
        <f t="shared" si="72"/>
        <v>10900</v>
      </c>
      <c r="CA14" s="20">
        <f t="shared" si="49"/>
        <v>189795.8016068787</v>
      </c>
      <c r="CB14" s="20">
        <f t="shared" si="50"/>
        <v>216367.21383184168</v>
      </c>
      <c r="CC14" s="21">
        <f t="shared" si="73"/>
        <v>11800</v>
      </c>
      <c r="CD14" s="20">
        <f t="shared" si="51"/>
        <v>228167.21383184168</v>
      </c>
      <c r="CE14" s="20">
        <f t="shared" si="52"/>
        <v>255547.27949166272</v>
      </c>
      <c r="CF14" s="21">
        <f t="shared" si="74"/>
        <v>148392.61027560628</v>
      </c>
      <c r="CG14" s="20">
        <f t="shared" si="53"/>
        <v>403939.88976726902</v>
      </c>
      <c r="CH14" s="20">
        <f t="shared" si="54"/>
        <v>444333.87874399597</v>
      </c>
      <c r="CI14" s="21">
        <f t="shared" si="75"/>
        <v>472279.30203548359</v>
      </c>
      <c r="CJ14" s="20">
        <f t="shared" si="55"/>
        <v>916613.18077947956</v>
      </c>
      <c r="CK14" s="20">
        <f t="shared" si="56"/>
        <v>1035772.8942808118</v>
      </c>
      <c r="CL14" s="21">
        <f t="shared" si="76"/>
        <v>1528841.3917494551</v>
      </c>
      <c r="CM14" s="20">
        <f t="shared" si="57"/>
        <v>2564614.2860302669</v>
      </c>
      <c r="CN14" s="20">
        <f t="shared" si="58"/>
        <v>2949306.4289348065</v>
      </c>
      <c r="CO14" s="21">
        <f t="shared" si="77"/>
        <v>5026698.1759492634</v>
      </c>
      <c r="CP14" s="20">
        <f t="shared" si="59"/>
        <v>7976004.6048840694</v>
      </c>
      <c r="CQ14" s="20">
        <f t="shared" si="60"/>
        <v>10049765.802153928</v>
      </c>
      <c r="CR14" s="21">
        <f t="shared" si="78"/>
        <v>17432353.765688188</v>
      </c>
      <c r="CS14" s="20">
        <f t="shared" si="61"/>
        <v>27482119.567842118</v>
      </c>
      <c r="CT14" s="20">
        <f t="shared" si="79"/>
        <v>37925325.003622122</v>
      </c>
      <c r="CU14" s="21">
        <f t="shared" si="80"/>
        <v>64615166.029835999</v>
      </c>
      <c r="CV14" s="20">
        <f t="shared" si="62"/>
        <v>102540491.03345811</v>
      </c>
      <c r="CW14" s="20">
        <f t="shared" si="63"/>
        <v>124073994.15048431</v>
      </c>
      <c r="CX14" s="21">
        <f t="shared" si="81"/>
        <v>71800</v>
      </c>
      <c r="CY14" s="20">
        <f t="shared" si="64"/>
        <v>124145794.15048431</v>
      </c>
      <c r="CZ14" s="20">
        <f t="shared" si="65"/>
        <v>151457868.86359087</v>
      </c>
      <c r="DA14" s="21">
        <v>71800</v>
      </c>
      <c r="DB14" s="20">
        <f t="shared" si="66"/>
        <v>151529668.86359087</v>
      </c>
      <c r="DC14" s="20">
        <f t="shared" si="67"/>
        <v>200019162.89993995</v>
      </c>
      <c r="DD14" s="20">
        <v>95800</v>
      </c>
      <c r="DE14" s="20">
        <f t="shared" si="68"/>
        <v>200114962.89993995</v>
      </c>
      <c r="DF14" s="20">
        <f t="shared" si="69"/>
        <v>290166696.2049129</v>
      </c>
      <c r="DG14" s="20">
        <v>168467</v>
      </c>
      <c r="DH14" s="20">
        <f t="shared" si="70"/>
        <v>290335163.2049129</v>
      </c>
    </row>
    <row r="15" spans="1:112">
      <c r="A15" s="25">
        <v>11</v>
      </c>
      <c r="B15" s="20">
        <v>0</v>
      </c>
      <c r="C15" s="21">
        <v>110</v>
      </c>
      <c r="D15" s="20">
        <f t="shared" si="0"/>
        <v>110</v>
      </c>
      <c r="E15" s="20">
        <f t="shared" si="1"/>
        <v>123.20000000000002</v>
      </c>
      <c r="F15" s="20">
        <v>110</v>
      </c>
      <c r="G15" s="20">
        <f t="shared" si="2"/>
        <v>233.20000000000002</v>
      </c>
      <c r="H15" s="20">
        <f t="shared" si="3"/>
        <v>256.52000000000004</v>
      </c>
      <c r="I15" s="20">
        <v>110</v>
      </c>
      <c r="J15" s="20">
        <f t="shared" si="4"/>
        <v>366.52000000000004</v>
      </c>
      <c r="K15" s="20">
        <f t="shared" si="5"/>
        <v>414.16759999999999</v>
      </c>
      <c r="L15" s="20">
        <v>110</v>
      </c>
      <c r="M15" s="20">
        <f t="shared" si="6"/>
        <v>524.16759999999999</v>
      </c>
      <c r="N15" s="20">
        <f t="shared" si="7"/>
        <v>602.79273999999998</v>
      </c>
      <c r="O15" s="20">
        <v>130</v>
      </c>
      <c r="P15" s="20">
        <f t="shared" si="8"/>
        <v>732.79273999999998</v>
      </c>
      <c r="Q15" s="20">
        <f t="shared" si="9"/>
        <v>923.31885239999997</v>
      </c>
      <c r="R15" s="20">
        <v>150</v>
      </c>
      <c r="S15" s="20">
        <f t="shared" si="10"/>
        <v>1073.3188524</v>
      </c>
      <c r="T15" s="20">
        <f t="shared" si="11"/>
        <v>1481.1800163119999</v>
      </c>
      <c r="U15" s="20">
        <v>75</v>
      </c>
      <c r="V15" s="20">
        <f t="shared" si="12"/>
        <v>1556.1800163119999</v>
      </c>
      <c r="W15" s="20">
        <f t="shared" si="13"/>
        <v>1882.9778197375199</v>
      </c>
      <c r="X15" s="20">
        <v>175</v>
      </c>
      <c r="Y15" s="20">
        <f t="shared" si="14"/>
        <v>2057.9778197375199</v>
      </c>
      <c r="Z15" s="20">
        <f t="shared" si="15"/>
        <v>2510.7329400797744</v>
      </c>
      <c r="AA15" s="20">
        <v>200</v>
      </c>
      <c r="AB15" s="20">
        <f t="shared" si="16"/>
        <v>2710.7329400797744</v>
      </c>
      <c r="AC15" s="20">
        <f t="shared" si="17"/>
        <v>3578.1674809053025</v>
      </c>
      <c r="AD15" s="20">
        <v>260</v>
      </c>
      <c r="AE15" s="20">
        <f t="shared" si="18"/>
        <v>3838.1674809053025</v>
      </c>
      <c r="AF15" s="20">
        <f t="shared" si="19"/>
        <v>5565.3428473126887</v>
      </c>
      <c r="AG15" s="20">
        <v>430</v>
      </c>
      <c r="AH15" s="20">
        <f t="shared" si="20"/>
        <v>5995.3428473126887</v>
      </c>
      <c r="AI15" s="20">
        <f t="shared" si="21"/>
        <v>6714.7839889902116</v>
      </c>
      <c r="AJ15" s="20">
        <v>520</v>
      </c>
      <c r="AK15" s="20">
        <f t="shared" si="22"/>
        <v>7234.7839889902116</v>
      </c>
      <c r="AL15" s="20">
        <f t="shared" si="23"/>
        <v>8464.6972671185467</v>
      </c>
      <c r="AM15" s="20">
        <v>630</v>
      </c>
      <c r="AN15" s="20">
        <f t="shared" si="24"/>
        <v>9094.6972671185467</v>
      </c>
      <c r="AO15" s="20">
        <f t="shared" si="25"/>
        <v>10367.954884515142</v>
      </c>
      <c r="AP15" s="20">
        <v>760</v>
      </c>
      <c r="AQ15" s="20">
        <f t="shared" si="26"/>
        <v>11127.954884515142</v>
      </c>
      <c r="AR15" s="20">
        <f t="shared" si="27"/>
        <v>12463.309470656961</v>
      </c>
      <c r="AS15" s="20">
        <v>950</v>
      </c>
      <c r="AT15" s="20">
        <f t="shared" si="28"/>
        <v>13413.309470656961</v>
      </c>
      <c r="AU15" s="20">
        <f t="shared" si="29"/>
        <v>14754.640417722658</v>
      </c>
      <c r="AV15" s="20">
        <v>1070</v>
      </c>
      <c r="AW15" s="20">
        <f t="shared" si="30"/>
        <v>15824.640417722658</v>
      </c>
      <c r="AX15" s="20">
        <f t="shared" si="31"/>
        <v>17881.8436720266</v>
      </c>
      <c r="AY15" s="20">
        <v>1750</v>
      </c>
      <c r="AZ15" s="20">
        <f t="shared" si="32"/>
        <v>19631.8436720266</v>
      </c>
      <c r="BA15" s="20">
        <f t="shared" si="33"/>
        <v>22576.620222830588</v>
      </c>
      <c r="BB15" s="20">
        <v>1750</v>
      </c>
      <c r="BC15" s="20">
        <f t="shared" si="34"/>
        <v>24326.620222830588</v>
      </c>
      <c r="BD15" s="20">
        <f t="shared" si="35"/>
        <v>30651.54148076654</v>
      </c>
      <c r="BE15" s="20">
        <v>1750</v>
      </c>
      <c r="BF15" s="20">
        <f t="shared" si="36"/>
        <v>32401.54148076654</v>
      </c>
      <c r="BG15" s="20">
        <f t="shared" si="37"/>
        <v>44714.12724345782</v>
      </c>
      <c r="BH15" s="20">
        <v>1750</v>
      </c>
      <c r="BI15" s="20">
        <f t="shared" si="38"/>
        <v>46464.12724345782</v>
      </c>
      <c r="BJ15" s="20">
        <f t="shared" si="39"/>
        <v>56221.593964583961</v>
      </c>
      <c r="BK15" s="20">
        <v>3000</v>
      </c>
      <c r="BL15" s="20">
        <f t="shared" si="40"/>
        <v>59221.593964583961</v>
      </c>
      <c r="BM15" s="20">
        <f t="shared" si="41"/>
        <v>72250.344636792433</v>
      </c>
      <c r="BN15" s="20">
        <v>3000</v>
      </c>
      <c r="BO15" s="20">
        <f t="shared" si="42"/>
        <v>75250.344636792433</v>
      </c>
      <c r="BP15" s="20">
        <f t="shared" si="43"/>
        <v>82775.379100471677</v>
      </c>
      <c r="BQ15" s="20">
        <v>3500</v>
      </c>
      <c r="BR15" s="20">
        <f t="shared" si="44"/>
        <v>86275.379100471677</v>
      </c>
      <c r="BS15" s="20">
        <f t="shared" si="45"/>
        <v>94902.917010518853</v>
      </c>
      <c r="BT15" s="21">
        <v>40000</v>
      </c>
      <c r="BU15" s="20">
        <f t="shared" si="82"/>
        <v>134902.91701051884</v>
      </c>
      <c r="BV15" s="20">
        <f t="shared" si="46"/>
        <v>151091.26705178112</v>
      </c>
      <c r="BW15" s="21">
        <f t="shared" si="71"/>
        <v>6000</v>
      </c>
      <c r="BX15" s="20">
        <f t="shared" si="47"/>
        <v>157091.26705178112</v>
      </c>
      <c r="BY15" s="20">
        <f t="shared" si="48"/>
        <v>183796.78245058391</v>
      </c>
      <c r="BZ15" s="21">
        <f t="shared" si="72"/>
        <v>11000</v>
      </c>
      <c r="CA15" s="20">
        <f t="shared" si="49"/>
        <v>194796.78245058391</v>
      </c>
      <c r="CB15" s="20">
        <f t="shared" si="50"/>
        <v>222068.33199366563</v>
      </c>
      <c r="CC15" s="21">
        <f t="shared" si="73"/>
        <v>12000</v>
      </c>
      <c r="CD15" s="20">
        <f t="shared" si="51"/>
        <v>234068.33199366563</v>
      </c>
      <c r="CE15" s="20">
        <f t="shared" si="52"/>
        <v>262156.53183290554</v>
      </c>
      <c r="CF15" s="21">
        <f t="shared" si="74"/>
        <v>148592.61027560628</v>
      </c>
      <c r="CG15" s="20">
        <f t="shared" si="53"/>
        <v>410749.14210851182</v>
      </c>
      <c r="CH15" s="20">
        <f t="shared" si="54"/>
        <v>451824.05631936307</v>
      </c>
      <c r="CI15" s="21">
        <f t="shared" si="75"/>
        <v>472479.30203548359</v>
      </c>
      <c r="CJ15" s="20">
        <f t="shared" si="55"/>
        <v>924303.35835484671</v>
      </c>
      <c r="CK15" s="20">
        <f t="shared" si="56"/>
        <v>1044462.7949409767</v>
      </c>
      <c r="CL15" s="21">
        <f t="shared" si="76"/>
        <v>1529041.3917494551</v>
      </c>
      <c r="CM15" s="20">
        <f t="shared" si="57"/>
        <v>2573504.186690432</v>
      </c>
      <c r="CN15" s="20">
        <f t="shared" si="58"/>
        <v>2959529.8146939967</v>
      </c>
      <c r="CO15" s="21">
        <f t="shared" si="77"/>
        <v>5026898.1759492634</v>
      </c>
      <c r="CP15" s="20">
        <f t="shared" si="59"/>
        <v>7986427.9906432601</v>
      </c>
      <c r="CQ15" s="20">
        <f t="shared" si="60"/>
        <v>10062899.268210508</v>
      </c>
      <c r="CR15" s="21">
        <f t="shared" si="78"/>
        <v>17432553.765688188</v>
      </c>
      <c r="CS15" s="20">
        <f t="shared" si="61"/>
        <v>27495453.033898696</v>
      </c>
      <c r="CT15" s="20">
        <f t="shared" si="79"/>
        <v>37943725.186780199</v>
      </c>
      <c r="CU15" s="21">
        <f t="shared" si="80"/>
        <v>64615366.029835999</v>
      </c>
      <c r="CV15" s="20">
        <f t="shared" si="62"/>
        <v>102559091.2166162</v>
      </c>
      <c r="CW15" s="20">
        <f t="shared" si="63"/>
        <v>124096500.3721056</v>
      </c>
      <c r="CX15" s="21">
        <f t="shared" si="81"/>
        <v>72000</v>
      </c>
      <c r="CY15" s="20">
        <f t="shared" si="64"/>
        <v>124168500.3721056</v>
      </c>
      <c r="CZ15" s="20">
        <f t="shared" si="65"/>
        <v>151485570.45396882</v>
      </c>
      <c r="DA15" s="21">
        <v>72000</v>
      </c>
      <c r="DB15" s="20">
        <f t="shared" si="66"/>
        <v>151557570.45396882</v>
      </c>
      <c r="DC15" s="20">
        <f t="shared" si="67"/>
        <v>200055992.99923885</v>
      </c>
      <c r="DD15" s="21">
        <v>96000</v>
      </c>
      <c r="DE15" s="20">
        <f t="shared" si="68"/>
        <v>200151992.99923885</v>
      </c>
      <c r="DF15" s="20">
        <f t="shared" si="69"/>
        <v>290220389.84889632</v>
      </c>
      <c r="DG15" s="21">
        <v>168667</v>
      </c>
      <c r="DH15" s="20">
        <f t="shared" si="70"/>
        <v>290389056.84889632</v>
      </c>
    </row>
    <row r="16" spans="1:112">
      <c r="A16" s="25">
        <v>12</v>
      </c>
      <c r="B16" s="20">
        <v>0</v>
      </c>
      <c r="C16" s="21">
        <v>120</v>
      </c>
      <c r="D16" s="20">
        <f t="shared" si="0"/>
        <v>120</v>
      </c>
      <c r="E16" s="20">
        <f t="shared" si="1"/>
        <v>134.4</v>
      </c>
      <c r="F16" s="21">
        <v>120</v>
      </c>
      <c r="G16" s="20">
        <f t="shared" si="2"/>
        <v>254.4</v>
      </c>
      <c r="H16" s="20">
        <f t="shared" si="3"/>
        <v>279.84000000000003</v>
      </c>
      <c r="I16" s="21">
        <v>120</v>
      </c>
      <c r="J16" s="20">
        <f t="shared" si="4"/>
        <v>399.84000000000003</v>
      </c>
      <c r="K16" s="20">
        <f t="shared" si="5"/>
        <v>451.81919999999997</v>
      </c>
      <c r="L16" s="21">
        <v>120</v>
      </c>
      <c r="M16" s="20">
        <f t="shared" si="6"/>
        <v>571.81919999999991</v>
      </c>
      <c r="N16" s="20">
        <f t="shared" si="7"/>
        <v>657.5920799999999</v>
      </c>
      <c r="O16" s="21">
        <v>140</v>
      </c>
      <c r="P16" s="20">
        <f t="shared" si="8"/>
        <v>797.5920799999999</v>
      </c>
      <c r="Q16" s="20">
        <f t="shared" si="9"/>
        <v>1004.9660207999999</v>
      </c>
      <c r="R16" s="21">
        <v>160</v>
      </c>
      <c r="S16" s="20">
        <f t="shared" si="10"/>
        <v>1164.9660208</v>
      </c>
      <c r="T16" s="20">
        <f t="shared" si="11"/>
        <v>1607.6531087039998</v>
      </c>
      <c r="U16" s="20">
        <v>76</v>
      </c>
      <c r="V16" s="20">
        <f t="shared" si="12"/>
        <v>1683.6531087039998</v>
      </c>
      <c r="W16" s="20">
        <f t="shared" si="13"/>
        <v>2037.2202615318397</v>
      </c>
      <c r="X16" s="21">
        <v>185</v>
      </c>
      <c r="Y16" s="20">
        <f t="shared" si="14"/>
        <v>2222.2202615318397</v>
      </c>
      <c r="Z16" s="20">
        <f t="shared" si="15"/>
        <v>2711.1087190688445</v>
      </c>
      <c r="AA16" s="21">
        <v>210</v>
      </c>
      <c r="AB16" s="20">
        <f t="shared" si="16"/>
        <v>2921.1087190688445</v>
      </c>
      <c r="AC16" s="20">
        <f t="shared" si="17"/>
        <v>3855.8635091708747</v>
      </c>
      <c r="AD16" s="21">
        <v>270</v>
      </c>
      <c r="AE16" s="20">
        <f t="shared" si="18"/>
        <v>4125.8635091708747</v>
      </c>
      <c r="AF16" s="20">
        <f t="shared" si="19"/>
        <v>5982.5020882977678</v>
      </c>
      <c r="AG16" s="21">
        <v>440</v>
      </c>
      <c r="AH16" s="20">
        <f t="shared" si="20"/>
        <v>6422.5020882977678</v>
      </c>
      <c r="AI16" s="20">
        <f t="shared" si="21"/>
        <v>7193.2023388935004</v>
      </c>
      <c r="AJ16" s="21">
        <v>530</v>
      </c>
      <c r="AK16" s="20">
        <f t="shared" si="22"/>
        <v>7723.2023388935004</v>
      </c>
      <c r="AL16" s="20">
        <f t="shared" si="23"/>
        <v>9036.1467365053941</v>
      </c>
      <c r="AM16" s="21">
        <v>640</v>
      </c>
      <c r="AN16" s="20">
        <f t="shared" si="24"/>
        <v>9676.1467365053941</v>
      </c>
      <c r="AO16" s="20">
        <f t="shared" si="25"/>
        <v>11030.807279616149</v>
      </c>
      <c r="AP16" s="21">
        <v>770</v>
      </c>
      <c r="AQ16" s="20">
        <f t="shared" si="26"/>
        <v>11800.807279616149</v>
      </c>
      <c r="AR16" s="20">
        <f t="shared" si="27"/>
        <v>13216.904153170088</v>
      </c>
      <c r="AS16" s="21">
        <v>960</v>
      </c>
      <c r="AT16" s="20">
        <f t="shared" si="28"/>
        <v>14176.904153170088</v>
      </c>
      <c r="AU16" s="20">
        <f t="shared" si="29"/>
        <v>15594.594568487099</v>
      </c>
      <c r="AV16" s="21">
        <v>1080</v>
      </c>
      <c r="AW16" s="20">
        <f t="shared" si="30"/>
        <v>16674.594568487097</v>
      </c>
      <c r="AX16" s="20">
        <f t="shared" si="31"/>
        <v>18842.291862390419</v>
      </c>
      <c r="AY16" s="21">
        <v>1850</v>
      </c>
      <c r="AZ16" s="20">
        <f t="shared" si="32"/>
        <v>20692.291862390419</v>
      </c>
      <c r="BA16" s="20">
        <f t="shared" si="33"/>
        <v>23796.135641748981</v>
      </c>
      <c r="BB16" s="21">
        <v>1850</v>
      </c>
      <c r="BC16" s="20">
        <f t="shared" si="34"/>
        <v>25646.135641748981</v>
      </c>
      <c r="BD16" s="20">
        <f t="shared" si="35"/>
        <v>32314.130908603714</v>
      </c>
      <c r="BE16" s="21">
        <v>1850</v>
      </c>
      <c r="BF16" s="20">
        <f t="shared" si="36"/>
        <v>34164.130908603714</v>
      </c>
      <c r="BG16" s="20">
        <f t="shared" si="37"/>
        <v>47146.500653873125</v>
      </c>
      <c r="BH16" s="21">
        <v>1850</v>
      </c>
      <c r="BI16" s="20">
        <f t="shared" si="38"/>
        <v>48996.500653873125</v>
      </c>
      <c r="BJ16" s="20">
        <f t="shared" si="39"/>
        <v>59285.765791186481</v>
      </c>
      <c r="BK16" s="21">
        <v>3200</v>
      </c>
      <c r="BL16" s="20">
        <f t="shared" si="40"/>
        <v>62485.765791186481</v>
      </c>
      <c r="BM16" s="20">
        <f t="shared" si="41"/>
        <v>76232.6342652475</v>
      </c>
      <c r="BN16" s="21">
        <v>3200</v>
      </c>
      <c r="BO16" s="20">
        <f t="shared" si="42"/>
        <v>79432.6342652475</v>
      </c>
      <c r="BP16" s="20">
        <f t="shared" si="43"/>
        <v>87375.897691772261</v>
      </c>
      <c r="BQ16" s="21">
        <v>3700</v>
      </c>
      <c r="BR16" s="20">
        <f t="shared" si="44"/>
        <v>91075.897691772261</v>
      </c>
      <c r="BS16" s="20">
        <f t="shared" si="45"/>
        <v>100183.4874609495</v>
      </c>
      <c r="BT16" s="21">
        <v>41000</v>
      </c>
      <c r="BU16" s="20">
        <f t="shared" si="82"/>
        <v>141183.48746094952</v>
      </c>
      <c r="BV16" s="20">
        <f t="shared" si="46"/>
        <v>158125.50595626349</v>
      </c>
      <c r="BW16" s="21">
        <f>BW15+200</f>
        <v>6200</v>
      </c>
      <c r="BX16" s="20">
        <f t="shared" si="47"/>
        <v>164325.50595626349</v>
      </c>
      <c r="BY16" s="20">
        <f t="shared" si="48"/>
        <v>192260.84196882826</v>
      </c>
      <c r="BZ16" s="21">
        <f>BZ15+200</f>
        <v>11200</v>
      </c>
      <c r="CA16" s="20">
        <f t="shared" si="49"/>
        <v>203460.84196882826</v>
      </c>
      <c r="CB16" s="20">
        <f t="shared" si="50"/>
        <v>231945.3598444642</v>
      </c>
      <c r="CC16" s="21">
        <f>CC15+400</f>
        <v>12400</v>
      </c>
      <c r="CD16" s="20">
        <f t="shared" si="51"/>
        <v>244345.3598444642</v>
      </c>
      <c r="CE16" s="20">
        <f t="shared" si="52"/>
        <v>273666.80302579992</v>
      </c>
      <c r="CF16" s="21">
        <f>CF15+400</f>
        <v>148992.61027560628</v>
      </c>
      <c r="CG16" s="20">
        <f t="shared" si="53"/>
        <v>422659.4133014062</v>
      </c>
      <c r="CH16" s="20">
        <f t="shared" si="54"/>
        <v>464925.35463154683</v>
      </c>
      <c r="CI16" s="21">
        <f>CI15+400</f>
        <v>472879.30203548359</v>
      </c>
      <c r="CJ16" s="20">
        <f t="shared" si="55"/>
        <v>937804.65666703042</v>
      </c>
      <c r="CK16" s="20">
        <f t="shared" si="56"/>
        <v>1059719.2620337442</v>
      </c>
      <c r="CL16" s="21">
        <f>CL15+400</f>
        <v>1529441.3917494551</v>
      </c>
      <c r="CM16" s="20">
        <f t="shared" si="57"/>
        <v>2589160.6537831994</v>
      </c>
      <c r="CN16" s="20">
        <f t="shared" si="58"/>
        <v>2977534.7518506791</v>
      </c>
      <c r="CO16" s="21">
        <f>CO15+400</f>
        <v>5027298.1759492634</v>
      </c>
      <c r="CP16" s="20">
        <f t="shared" si="59"/>
        <v>8004832.927799942</v>
      </c>
      <c r="CQ16" s="20">
        <f t="shared" si="60"/>
        <v>10086089.489027927</v>
      </c>
      <c r="CR16" s="21">
        <f>CR15+400</f>
        <v>17432953.765688188</v>
      </c>
      <c r="CS16" s="20">
        <f t="shared" si="61"/>
        <v>27519043.254716113</v>
      </c>
      <c r="CT16" s="20">
        <f t="shared" si="79"/>
        <v>37976279.691508234</v>
      </c>
      <c r="CU16" s="21">
        <f>CU15+400</f>
        <v>64615766.029835999</v>
      </c>
      <c r="CV16" s="20">
        <f t="shared" si="62"/>
        <v>102592045.72134423</v>
      </c>
      <c r="CW16" s="20">
        <f t="shared" si="63"/>
        <v>124136375.32282652</v>
      </c>
      <c r="CX16" s="21">
        <f>CX15+400</f>
        <v>72400</v>
      </c>
      <c r="CY16" s="20">
        <f t="shared" si="64"/>
        <v>124208775.32282652</v>
      </c>
      <c r="CZ16" s="20">
        <f t="shared" si="65"/>
        <v>151534705.89384836</v>
      </c>
      <c r="DA16" s="21">
        <v>72400</v>
      </c>
      <c r="DB16" s="20">
        <f t="shared" si="66"/>
        <v>151607105.89384836</v>
      </c>
      <c r="DC16" s="20">
        <f t="shared" si="67"/>
        <v>200121379.77987984</v>
      </c>
      <c r="DD16" s="21">
        <v>96400</v>
      </c>
      <c r="DE16" s="20">
        <f t="shared" si="68"/>
        <v>200217779.77987984</v>
      </c>
      <c r="DF16" s="20">
        <f t="shared" si="69"/>
        <v>290315780.68082577</v>
      </c>
      <c r="DG16" s="21">
        <v>169067</v>
      </c>
      <c r="DH16" s="20">
        <f t="shared" si="70"/>
        <v>290484847.68082577</v>
      </c>
    </row>
    <row r="17" spans="1:112">
      <c r="A17" s="25">
        <v>13</v>
      </c>
      <c r="B17" s="20">
        <v>0</v>
      </c>
      <c r="C17" s="21">
        <v>130</v>
      </c>
      <c r="D17" s="20">
        <f t="shared" si="0"/>
        <v>130</v>
      </c>
      <c r="E17" s="20">
        <f t="shared" si="1"/>
        <v>145.60000000000002</v>
      </c>
      <c r="F17" s="20">
        <v>130</v>
      </c>
      <c r="G17" s="20">
        <f t="shared" si="2"/>
        <v>275.60000000000002</v>
      </c>
      <c r="H17" s="20">
        <f t="shared" si="3"/>
        <v>303.16000000000003</v>
      </c>
      <c r="I17" s="20">
        <v>130</v>
      </c>
      <c r="J17" s="20">
        <f t="shared" si="4"/>
        <v>433.16</v>
      </c>
      <c r="K17" s="20">
        <f t="shared" si="5"/>
        <v>489.4708</v>
      </c>
      <c r="L17" s="20">
        <v>130</v>
      </c>
      <c r="M17" s="20">
        <f t="shared" si="6"/>
        <v>619.47080000000005</v>
      </c>
      <c r="N17" s="20">
        <f t="shared" si="7"/>
        <v>712.39142000000004</v>
      </c>
      <c r="O17" s="20">
        <v>150</v>
      </c>
      <c r="P17" s="20">
        <f t="shared" si="8"/>
        <v>862.39142000000004</v>
      </c>
      <c r="Q17" s="20">
        <f t="shared" si="9"/>
        <v>1086.6131892000001</v>
      </c>
      <c r="R17" s="20">
        <v>170</v>
      </c>
      <c r="S17" s="20">
        <f t="shared" si="10"/>
        <v>1256.6131892000001</v>
      </c>
      <c r="T17" s="20">
        <f t="shared" si="11"/>
        <v>1734.1262010959999</v>
      </c>
      <c r="U17" s="20">
        <v>77</v>
      </c>
      <c r="V17" s="20">
        <f t="shared" si="12"/>
        <v>1811.1262010959999</v>
      </c>
      <c r="W17" s="20">
        <f t="shared" si="13"/>
        <v>2191.46270332616</v>
      </c>
      <c r="X17" s="20">
        <v>195</v>
      </c>
      <c r="Y17" s="20">
        <f t="shared" si="14"/>
        <v>2386.46270332616</v>
      </c>
      <c r="Z17" s="20">
        <f t="shared" si="15"/>
        <v>2911.4844980579151</v>
      </c>
      <c r="AA17" s="20">
        <v>220</v>
      </c>
      <c r="AB17" s="20">
        <f t="shared" si="16"/>
        <v>3131.4844980579151</v>
      </c>
      <c r="AC17" s="20">
        <f t="shared" si="17"/>
        <v>4133.5595374364484</v>
      </c>
      <c r="AD17" s="20">
        <v>280</v>
      </c>
      <c r="AE17" s="20">
        <f t="shared" si="18"/>
        <v>4413.5595374364484</v>
      </c>
      <c r="AF17" s="20">
        <f t="shared" si="19"/>
        <v>6399.6613292828497</v>
      </c>
      <c r="AG17" s="21">
        <v>440</v>
      </c>
      <c r="AH17" s="20">
        <f t="shared" si="20"/>
        <v>6839.6613292828497</v>
      </c>
      <c r="AI17" s="20">
        <f t="shared" si="21"/>
        <v>7660.4206887967921</v>
      </c>
      <c r="AJ17" s="20">
        <v>540</v>
      </c>
      <c r="AK17" s="20">
        <f t="shared" si="22"/>
        <v>8200.4206887967921</v>
      </c>
      <c r="AL17" s="20">
        <f t="shared" si="23"/>
        <v>9594.4922058922457</v>
      </c>
      <c r="AM17" s="20">
        <v>650</v>
      </c>
      <c r="AN17" s="20">
        <f t="shared" si="24"/>
        <v>10244.492205892246</v>
      </c>
      <c r="AO17" s="20">
        <f t="shared" si="25"/>
        <v>11678.721114717158</v>
      </c>
      <c r="AP17" s="20">
        <v>780</v>
      </c>
      <c r="AQ17" s="20">
        <f t="shared" si="26"/>
        <v>12458.721114717158</v>
      </c>
      <c r="AR17" s="20">
        <f t="shared" si="27"/>
        <v>13953.767648483219</v>
      </c>
      <c r="AS17" s="20">
        <v>970</v>
      </c>
      <c r="AT17" s="20">
        <f t="shared" si="28"/>
        <v>14923.767648483219</v>
      </c>
      <c r="AU17" s="20">
        <f t="shared" si="29"/>
        <v>16416.144413331542</v>
      </c>
      <c r="AV17" s="20">
        <v>1090</v>
      </c>
      <c r="AW17" s="20">
        <f t="shared" si="30"/>
        <v>17506.144413331542</v>
      </c>
      <c r="AX17" s="20">
        <f t="shared" si="31"/>
        <v>19781.94318706464</v>
      </c>
      <c r="AY17" s="20">
        <v>1950</v>
      </c>
      <c r="AZ17" s="20">
        <f t="shared" si="32"/>
        <v>21731.94318706464</v>
      </c>
      <c r="BA17" s="20">
        <f t="shared" si="33"/>
        <v>24991.734665124335</v>
      </c>
      <c r="BB17" s="20">
        <v>1950</v>
      </c>
      <c r="BC17" s="20">
        <f t="shared" si="34"/>
        <v>26941.734665124335</v>
      </c>
      <c r="BD17" s="20">
        <f t="shared" si="35"/>
        <v>33946.585678056661</v>
      </c>
      <c r="BE17" s="20">
        <v>1950</v>
      </c>
      <c r="BF17" s="20">
        <f t="shared" si="36"/>
        <v>35896.585678056661</v>
      </c>
      <c r="BG17" s="20">
        <f t="shared" si="37"/>
        <v>49537.288235718188</v>
      </c>
      <c r="BH17" s="20">
        <v>1950</v>
      </c>
      <c r="BI17" s="20">
        <f t="shared" si="38"/>
        <v>51487.288235718188</v>
      </c>
      <c r="BJ17" s="20">
        <f t="shared" si="39"/>
        <v>62299.618765219006</v>
      </c>
      <c r="BK17" s="20">
        <v>3400</v>
      </c>
      <c r="BL17" s="20">
        <f t="shared" si="40"/>
        <v>65699.618765218998</v>
      </c>
      <c r="BM17" s="20">
        <f t="shared" si="41"/>
        <v>80153.534893567179</v>
      </c>
      <c r="BN17" s="20">
        <v>3400</v>
      </c>
      <c r="BO17" s="20">
        <f t="shared" si="42"/>
        <v>83553.534893567179</v>
      </c>
      <c r="BP17" s="20">
        <f t="shared" si="43"/>
        <v>91908.888382923906</v>
      </c>
      <c r="BQ17" s="20">
        <v>3900</v>
      </c>
      <c r="BR17" s="20">
        <f t="shared" si="44"/>
        <v>95808.888382923906</v>
      </c>
      <c r="BS17" s="20">
        <f t="shared" si="45"/>
        <v>105389.77722121631</v>
      </c>
      <c r="BT17" s="21">
        <v>43000</v>
      </c>
      <c r="BU17" s="20">
        <f t="shared" si="82"/>
        <v>148389.7772212163</v>
      </c>
      <c r="BV17" s="20">
        <f t="shared" si="46"/>
        <v>166196.55048776226</v>
      </c>
      <c r="BW17" s="21">
        <f t="shared" ref="BW17:BW24" si="83">BW16+200</f>
        <v>6400</v>
      </c>
      <c r="BX17" s="20">
        <f t="shared" si="47"/>
        <v>172596.55048776226</v>
      </c>
      <c r="BY17" s="20">
        <f t="shared" si="48"/>
        <v>201937.96407068183</v>
      </c>
      <c r="BZ17" s="21">
        <f t="shared" ref="BZ17:BZ24" si="84">BZ16+200</f>
        <v>11400</v>
      </c>
      <c r="CA17" s="20">
        <f t="shared" si="49"/>
        <v>213337.96407068183</v>
      </c>
      <c r="CB17" s="20">
        <f t="shared" si="50"/>
        <v>243205.27904057727</v>
      </c>
      <c r="CC17" s="21">
        <f t="shared" ref="CC17:CC24" si="85">CC16+400</f>
        <v>12800</v>
      </c>
      <c r="CD17" s="20">
        <f t="shared" si="51"/>
        <v>256005.27904057727</v>
      </c>
      <c r="CE17" s="20">
        <f t="shared" si="52"/>
        <v>286725.91252544656</v>
      </c>
      <c r="CF17" s="21">
        <f t="shared" ref="CF17:CF24" si="86">CF16+400</f>
        <v>149392.61027560628</v>
      </c>
      <c r="CG17" s="20">
        <f t="shared" si="53"/>
        <v>436118.52280105284</v>
      </c>
      <c r="CH17" s="20">
        <f t="shared" si="54"/>
        <v>479730.37508115818</v>
      </c>
      <c r="CI17" s="21">
        <f t="shared" ref="CI17:CI24" si="87">CI16+400</f>
        <v>473279.30203548359</v>
      </c>
      <c r="CJ17" s="20">
        <f t="shared" si="55"/>
        <v>953009.67711664177</v>
      </c>
      <c r="CK17" s="20">
        <f t="shared" si="56"/>
        <v>1076900.9351418051</v>
      </c>
      <c r="CL17" s="21">
        <f t="shared" ref="CL17:CL24" si="88">CL16+400</f>
        <v>1529841.3917494551</v>
      </c>
      <c r="CM17" s="20">
        <f t="shared" si="57"/>
        <v>2606742.3268912602</v>
      </c>
      <c r="CN17" s="20">
        <f t="shared" si="58"/>
        <v>2997753.6759249489</v>
      </c>
      <c r="CO17" s="21">
        <f t="shared" ref="CO17:CO24" si="89">CO16+400</f>
        <v>5027698.1759492634</v>
      </c>
      <c r="CP17" s="20">
        <f t="shared" si="59"/>
        <v>8025451.8518742118</v>
      </c>
      <c r="CQ17" s="20">
        <f t="shared" si="60"/>
        <v>10112069.333361506</v>
      </c>
      <c r="CR17" s="21">
        <f t="shared" ref="CR17:CR24" si="90">CR16+400</f>
        <v>17433353.765688188</v>
      </c>
      <c r="CS17" s="20">
        <f t="shared" si="61"/>
        <v>27545423.099049695</v>
      </c>
      <c r="CT17" s="20">
        <f t="shared" si="79"/>
        <v>38012683.876688577</v>
      </c>
      <c r="CU17" s="21">
        <f t="shared" ref="CU17:CU24" si="91">CU16+400</f>
        <v>64616166.029835999</v>
      </c>
      <c r="CV17" s="20">
        <f t="shared" si="62"/>
        <v>102628849.90652457</v>
      </c>
      <c r="CW17" s="20">
        <f t="shared" si="63"/>
        <v>124180908.38689472</v>
      </c>
      <c r="CX17" s="21">
        <f t="shared" ref="CX17:CX24" si="92">CX16+400</f>
        <v>72800</v>
      </c>
      <c r="CY17" s="20">
        <f t="shared" si="64"/>
        <v>124253708.38689472</v>
      </c>
      <c r="CZ17" s="20">
        <f t="shared" si="65"/>
        <v>151589524.23201156</v>
      </c>
      <c r="DA17" s="21">
        <v>72800</v>
      </c>
      <c r="DB17" s="20">
        <f t="shared" si="66"/>
        <v>151662324.23201156</v>
      </c>
      <c r="DC17" s="20">
        <f t="shared" si="67"/>
        <v>200194267.98625526</v>
      </c>
      <c r="DD17" s="21">
        <v>96800</v>
      </c>
      <c r="DE17" s="20">
        <f t="shared" si="68"/>
        <v>200291067.98625526</v>
      </c>
      <c r="DF17" s="20">
        <f t="shared" si="69"/>
        <v>290422048.58007014</v>
      </c>
      <c r="DG17" s="21">
        <v>169467</v>
      </c>
      <c r="DH17" s="20">
        <f t="shared" si="70"/>
        <v>290591515.58007014</v>
      </c>
    </row>
    <row r="18" spans="1:112">
      <c r="A18" s="25">
        <v>14</v>
      </c>
      <c r="B18" s="20">
        <v>0</v>
      </c>
      <c r="C18" s="21">
        <v>140</v>
      </c>
      <c r="D18" s="20">
        <f t="shared" si="0"/>
        <v>140</v>
      </c>
      <c r="E18" s="20">
        <f t="shared" si="1"/>
        <v>156.80000000000001</v>
      </c>
      <c r="F18" s="21">
        <v>140</v>
      </c>
      <c r="G18" s="20">
        <f t="shared" si="2"/>
        <v>296.8</v>
      </c>
      <c r="H18" s="20">
        <f t="shared" si="3"/>
        <v>326.48</v>
      </c>
      <c r="I18" s="21">
        <v>140</v>
      </c>
      <c r="J18" s="20">
        <f t="shared" si="4"/>
        <v>466.48</v>
      </c>
      <c r="K18" s="20">
        <f t="shared" si="5"/>
        <v>527.12239999999997</v>
      </c>
      <c r="L18" s="21">
        <v>140</v>
      </c>
      <c r="M18" s="20">
        <f t="shared" si="6"/>
        <v>667.12239999999997</v>
      </c>
      <c r="N18" s="20">
        <f t="shared" si="7"/>
        <v>767.19075999999995</v>
      </c>
      <c r="O18" s="21">
        <v>160</v>
      </c>
      <c r="P18" s="20">
        <f t="shared" si="8"/>
        <v>927.19075999999995</v>
      </c>
      <c r="Q18" s="20">
        <f t="shared" si="9"/>
        <v>1168.2603575999999</v>
      </c>
      <c r="R18" s="21">
        <v>180</v>
      </c>
      <c r="S18" s="20">
        <f t="shared" si="10"/>
        <v>1348.2603575999999</v>
      </c>
      <c r="T18" s="20">
        <f t="shared" si="11"/>
        <v>1860.5992934879998</v>
      </c>
      <c r="U18" s="20">
        <v>78</v>
      </c>
      <c r="V18" s="20">
        <f t="shared" si="12"/>
        <v>1938.5992934879998</v>
      </c>
      <c r="W18" s="20">
        <f t="shared" si="13"/>
        <v>2345.7051451204798</v>
      </c>
      <c r="X18" s="21">
        <v>205</v>
      </c>
      <c r="Y18" s="20">
        <f t="shared" si="14"/>
        <v>2550.7051451204798</v>
      </c>
      <c r="Z18" s="20">
        <f t="shared" si="15"/>
        <v>3111.8602770469852</v>
      </c>
      <c r="AA18" s="21">
        <v>230</v>
      </c>
      <c r="AB18" s="20">
        <f t="shared" si="16"/>
        <v>3341.8602770469852</v>
      </c>
      <c r="AC18" s="20">
        <f t="shared" si="17"/>
        <v>4411.2555657020202</v>
      </c>
      <c r="AD18" s="21">
        <v>290</v>
      </c>
      <c r="AE18" s="20">
        <f t="shared" si="18"/>
        <v>4701.2555657020202</v>
      </c>
      <c r="AF18" s="20">
        <f t="shared" si="19"/>
        <v>6816.8205702679288</v>
      </c>
      <c r="AG18" s="21">
        <v>440</v>
      </c>
      <c r="AH18" s="20">
        <f t="shared" si="20"/>
        <v>7256.8205702679288</v>
      </c>
      <c r="AI18" s="20">
        <f t="shared" si="21"/>
        <v>8127.6390387000811</v>
      </c>
      <c r="AJ18" s="21">
        <v>550</v>
      </c>
      <c r="AK18" s="20">
        <f t="shared" si="22"/>
        <v>8677.6390387000811</v>
      </c>
      <c r="AL18" s="20">
        <f t="shared" si="23"/>
        <v>10152.837675279094</v>
      </c>
      <c r="AM18" s="21">
        <v>660</v>
      </c>
      <c r="AN18" s="20">
        <f t="shared" si="24"/>
        <v>10812.837675279094</v>
      </c>
      <c r="AO18" s="20">
        <f t="shared" si="25"/>
        <v>12326.634949818166</v>
      </c>
      <c r="AP18" s="21">
        <v>790</v>
      </c>
      <c r="AQ18" s="20">
        <f t="shared" si="26"/>
        <v>13116.634949818166</v>
      </c>
      <c r="AR18" s="20">
        <f t="shared" si="27"/>
        <v>14690.631143796347</v>
      </c>
      <c r="AS18" s="21">
        <v>980</v>
      </c>
      <c r="AT18" s="20">
        <f t="shared" si="28"/>
        <v>15670.631143796347</v>
      </c>
      <c r="AU18" s="20">
        <f t="shared" si="29"/>
        <v>17237.694258175983</v>
      </c>
      <c r="AV18" s="21">
        <v>1100</v>
      </c>
      <c r="AW18" s="20">
        <f t="shared" si="30"/>
        <v>18337.694258175983</v>
      </c>
      <c r="AX18" s="20">
        <f t="shared" si="31"/>
        <v>20721.594511738858</v>
      </c>
      <c r="AY18" s="21">
        <v>2050</v>
      </c>
      <c r="AZ18" s="20">
        <f t="shared" si="32"/>
        <v>22771.594511738858</v>
      </c>
      <c r="BA18" s="20">
        <f t="shared" si="33"/>
        <v>26187.333688499686</v>
      </c>
      <c r="BB18" s="21">
        <v>2050</v>
      </c>
      <c r="BC18" s="20">
        <f t="shared" si="34"/>
        <v>28237.333688499686</v>
      </c>
      <c r="BD18" s="20">
        <f t="shared" si="35"/>
        <v>35579.040447509607</v>
      </c>
      <c r="BE18" s="21">
        <v>2050</v>
      </c>
      <c r="BF18" s="20">
        <f t="shared" si="36"/>
        <v>37629.040447509607</v>
      </c>
      <c r="BG18" s="20">
        <f t="shared" si="37"/>
        <v>51928.075817563251</v>
      </c>
      <c r="BH18" s="21">
        <v>2050</v>
      </c>
      <c r="BI18" s="20">
        <f t="shared" si="38"/>
        <v>53978.075817563251</v>
      </c>
      <c r="BJ18" s="20">
        <f t="shared" si="39"/>
        <v>65313.47173925153</v>
      </c>
      <c r="BK18" s="21">
        <v>3600</v>
      </c>
      <c r="BL18" s="20">
        <f t="shared" si="40"/>
        <v>68913.47173925153</v>
      </c>
      <c r="BM18" s="20">
        <f t="shared" si="41"/>
        <v>84074.435521886859</v>
      </c>
      <c r="BN18" s="21">
        <v>3600</v>
      </c>
      <c r="BO18" s="20">
        <f t="shared" si="42"/>
        <v>87674.435521886859</v>
      </c>
      <c r="BP18" s="20">
        <f t="shared" si="43"/>
        <v>96441.87907407555</v>
      </c>
      <c r="BQ18" s="21">
        <v>4100</v>
      </c>
      <c r="BR18" s="20">
        <f t="shared" si="44"/>
        <v>100541.87907407555</v>
      </c>
      <c r="BS18" s="20">
        <f t="shared" si="45"/>
        <v>110596.06698148312</v>
      </c>
      <c r="BT18" s="21">
        <v>45000</v>
      </c>
      <c r="BU18" s="20">
        <f t="shared" si="82"/>
        <v>155596.06698148313</v>
      </c>
      <c r="BV18" s="20">
        <f t="shared" si="46"/>
        <v>174267.59501926112</v>
      </c>
      <c r="BW18" s="21">
        <f t="shared" si="83"/>
        <v>6600</v>
      </c>
      <c r="BX18" s="20">
        <f t="shared" si="47"/>
        <v>180867.59501926112</v>
      </c>
      <c r="BY18" s="20">
        <f t="shared" si="48"/>
        <v>211615.08617253549</v>
      </c>
      <c r="BZ18" s="21">
        <f t="shared" si="84"/>
        <v>11600</v>
      </c>
      <c r="CA18" s="20">
        <f t="shared" si="49"/>
        <v>223215.08617253549</v>
      </c>
      <c r="CB18" s="20">
        <f t="shared" si="50"/>
        <v>254465.19823669043</v>
      </c>
      <c r="CC18" s="21">
        <f t="shared" si="85"/>
        <v>13200</v>
      </c>
      <c r="CD18" s="20">
        <f t="shared" si="51"/>
        <v>267665.19823669043</v>
      </c>
      <c r="CE18" s="20">
        <f t="shared" si="52"/>
        <v>299785.02202509332</v>
      </c>
      <c r="CF18" s="21">
        <f t="shared" si="86"/>
        <v>149792.61027560628</v>
      </c>
      <c r="CG18" s="20">
        <f t="shared" si="53"/>
        <v>449577.6323006996</v>
      </c>
      <c r="CH18" s="20">
        <f t="shared" si="54"/>
        <v>494535.3955307696</v>
      </c>
      <c r="CI18" s="21">
        <f t="shared" si="87"/>
        <v>473679.30203548359</v>
      </c>
      <c r="CJ18" s="20">
        <f t="shared" si="55"/>
        <v>968214.69756625313</v>
      </c>
      <c r="CK18" s="20">
        <f t="shared" si="56"/>
        <v>1094082.6082498659</v>
      </c>
      <c r="CL18" s="21">
        <f t="shared" si="88"/>
        <v>1530241.3917494551</v>
      </c>
      <c r="CM18" s="20">
        <f t="shared" si="57"/>
        <v>2624323.9999993211</v>
      </c>
      <c r="CN18" s="20">
        <f t="shared" si="58"/>
        <v>3017972.5999992192</v>
      </c>
      <c r="CO18" s="21">
        <f t="shared" si="89"/>
        <v>5028098.1759492634</v>
      </c>
      <c r="CP18" s="20">
        <f t="shared" si="59"/>
        <v>8046070.7759484826</v>
      </c>
      <c r="CQ18" s="20">
        <f t="shared" si="60"/>
        <v>10138049.177695088</v>
      </c>
      <c r="CR18" s="21">
        <f t="shared" si="90"/>
        <v>17433753.765688188</v>
      </c>
      <c r="CS18" s="20">
        <f t="shared" si="61"/>
        <v>27571802.943383276</v>
      </c>
      <c r="CT18" s="20">
        <f t="shared" si="79"/>
        <v>38049088.061868921</v>
      </c>
      <c r="CU18" s="21">
        <f t="shared" si="91"/>
        <v>64616566.029835999</v>
      </c>
      <c r="CV18" s="20">
        <f t="shared" si="62"/>
        <v>102665654.09170492</v>
      </c>
      <c r="CW18" s="20">
        <f t="shared" si="63"/>
        <v>124225441.45096295</v>
      </c>
      <c r="CX18" s="21">
        <f t="shared" si="92"/>
        <v>73200</v>
      </c>
      <c r="CY18" s="20">
        <f t="shared" si="64"/>
        <v>124298641.45096295</v>
      </c>
      <c r="CZ18" s="20">
        <f t="shared" si="65"/>
        <v>151644342.57017478</v>
      </c>
      <c r="DA18" s="21">
        <v>73200</v>
      </c>
      <c r="DB18" s="20">
        <f t="shared" si="66"/>
        <v>151717542.57017478</v>
      </c>
      <c r="DC18" s="20">
        <f t="shared" si="67"/>
        <v>200267156.19263074</v>
      </c>
      <c r="DD18" s="21">
        <v>97200</v>
      </c>
      <c r="DE18" s="20">
        <f t="shared" si="68"/>
        <v>200364356.19263074</v>
      </c>
      <c r="DF18" s="20">
        <f t="shared" si="69"/>
        <v>290528316.47931457</v>
      </c>
      <c r="DG18" s="21">
        <v>169867</v>
      </c>
      <c r="DH18" s="20">
        <f t="shared" si="70"/>
        <v>290698183.47931457</v>
      </c>
    </row>
    <row r="19" spans="1:112">
      <c r="A19" s="25">
        <v>15</v>
      </c>
      <c r="B19" s="20">
        <v>0</v>
      </c>
      <c r="C19" s="21">
        <v>150</v>
      </c>
      <c r="D19" s="20">
        <f t="shared" si="0"/>
        <v>150</v>
      </c>
      <c r="E19" s="20">
        <f t="shared" si="1"/>
        <v>168.00000000000003</v>
      </c>
      <c r="F19" s="20">
        <v>150</v>
      </c>
      <c r="G19" s="20">
        <f t="shared" si="2"/>
        <v>318</v>
      </c>
      <c r="H19" s="20">
        <f t="shared" si="3"/>
        <v>349.8</v>
      </c>
      <c r="I19" s="20">
        <v>150</v>
      </c>
      <c r="J19" s="20">
        <f t="shared" si="4"/>
        <v>499.8</v>
      </c>
      <c r="K19" s="20">
        <f t="shared" si="5"/>
        <v>564.774</v>
      </c>
      <c r="L19" s="20">
        <v>150</v>
      </c>
      <c r="M19" s="20">
        <f t="shared" si="6"/>
        <v>714.774</v>
      </c>
      <c r="N19" s="20">
        <f>M19*1.15</f>
        <v>821.99009999999998</v>
      </c>
      <c r="O19" s="20">
        <v>170</v>
      </c>
      <c r="P19" s="20">
        <f t="shared" si="8"/>
        <v>991.99009999999998</v>
      </c>
      <c r="Q19" s="20">
        <f t="shared" si="9"/>
        <v>1249.907526</v>
      </c>
      <c r="R19" s="20">
        <v>190</v>
      </c>
      <c r="S19" s="20">
        <f t="shared" si="10"/>
        <v>1439.907526</v>
      </c>
      <c r="T19" s="20">
        <f t="shared" si="11"/>
        <v>1987.0723858799997</v>
      </c>
      <c r="U19" s="20">
        <v>79</v>
      </c>
      <c r="V19" s="20">
        <f t="shared" si="12"/>
        <v>2066.0723858799997</v>
      </c>
      <c r="W19" s="20">
        <f t="shared" si="13"/>
        <v>2499.9475869147996</v>
      </c>
      <c r="X19" s="20">
        <v>215</v>
      </c>
      <c r="Y19" s="20">
        <f t="shared" si="14"/>
        <v>2714.9475869147996</v>
      </c>
      <c r="Z19" s="20">
        <f t="shared" si="15"/>
        <v>3312.2360560360553</v>
      </c>
      <c r="AA19" s="20">
        <v>240</v>
      </c>
      <c r="AB19" s="20">
        <f t="shared" si="16"/>
        <v>3552.2360560360553</v>
      </c>
      <c r="AC19" s="20">
        <f t="shared" si="17"/>
        <v>4688.951593967593</v>
      </c>
      <c r="AD19" s="20">
        <v>300</v>
      </c>
      <c r="AE19" s="20">
        <f t="shared" si="18"/>
        <v>4988.951593967593</v>
      </c>
      <c r="AF19" s="20">
        <f t="shared" si="19"/>
        <v>7233.9798112530098</v>
      </c>
      <c r="AG19" s="21">
        <v>440</v>
      </c>
      <c r="AH19" s="20">
        <f t="shared" si="20"/>
        <v>7673.9798112530098</v>
      </c>
      <c r="AI19" s="20">
        <f t="shared" si="21"/>
        <v>8594.8573886033719</v>
      </c>
      <c r="AJ19" s="20">
        <v>560</v>
      </c>
      <c r="AK19" s="20">
        <f t="shared" si="22"/>
        <v>9154.8573886033719</v>
      </c>
      <c r="AL19" s="20">
        <f t="shared" si="23"/>
        <v>10711.183144665945</v>
      </c>
      <c r="AM19" s="20">
        <v>670</v>
      </c>
      <c r="AN19" s="20">
        <f t="shared" si="24"/>
        <v>11381.183144665945</v>
      </c>
      <c r="AO19" s="20">
        <f t="shared" si="25"/>
        <v>12974.548784919176</v>
      </c>
      <c r="AP19" s="20">
        <v>800</v>
      </c>
      <c r="AQ19" s="20">
        <f t="shared" si="26"/>
        <v>13774.548784919176</v>
      </c>
      <c r="AR19" s="20">
        <f t="shared" si="27"/>
        <v>15427.494639109478</v>
      </c>
      <c r="AS19" s="20">
        <v>990</v>
      </c>
      <c r="AT19" s="20">
        <f t="shared" si="28"/>
        <v>16417.494639109478</v>
      </c>
      <c r="AU19" s="20">
        <f t="shared" si="29"/>
        <v>18059.244103020428</v>
      </c>
      <c r="AV19" s="20">
        <v>1110</v>
      </c>
      <c r="AW19" s="20">
        <f t="shared" si="30"/>
        <v>19169.244103020428</v>
      </c>
      <c r="AX19" s="20">
        <f t="shared" si="31"/>
        <v>21661.245836413083</v>
      </c>
      <c r="AY19" s="20">
        <v>2150</v>
      </c>
      <c r="AZ19" s="20">
        <f t="shared" si="32"/>
        <v>23811.245836413083</v>
      </c>
      <c r="BA19" s="20">
        <f t="shared" si="33"/>
        <v>27382.932711875044</v>
      </c>
      <c r="BB19" s="20">
        <v>2150</v>
      </c>
      <c r="BC19" s="20">
        <f t="shared" si="34"/>
        <v>29532.932711875044</v>
      </c>
      <c r="BD19" s="20">
        <f t="shared" si="35"/>
        <v>37211.495216962554</v>
      </c>
      <c r="BE19" s="20">
        <v>2150</v>
      </c>
      <c r="BF19" s="20">
        <f t="shared" si="36"/>
        <v>39361.495216962554</v>
      </c>
      <c r="BG19" s="20">
        <f t="shared" si="37"/>
        <v>54318.863399408321</v>
      </c>
      <c r="BH19" s="20">
        <v>2150</v>
      </c>
      <c r="BI19" s="20">
        <f t="shared" si="38"/>
        <v>56468.863399408321</v>
      </c>
      <c r="BJ19" s="20">
        <f t="shared" si="39"/>
        <v>68327.324713284062</v>
      </c>
      <c r="BK19" s="20">
        <v>3800</v>
      </c>
      <c r="BL19" s="20">
        <f t="shared" si="40"/>
        <v>72127.324713284062</v>
      </c>
      <c r="BM19" s="20">
        <f t="shared" si="41"/>
        <v>87995.336150206553</v>
      </c>
      <c r="BN19" s="20">
        <v>3800</v>
      </c>
      <c r="BO19" s="20">
        <f t="shared" si="42"/>
        <v>91795.336150206553</v>
      </c>
      <c r="BP19" s="20">
        <f t="shared" si="43"/>
        <v>100974.86976522721</v>
      </c>
      <c r="BQ19" s="20">
        <v>4300</v>
      </c>
      <c r="BR19" s="20">
        <f t="shared" si="44"/>
        <v>105274.86976522721</v>
      </c>
      <c r="BS19" s="20">
        <f t="shared" si="45"/>
        <v>115802.35674174994</v>
      </c>
      <c r="BT19" s="21">
        <v>47000</v>
      </c>
      <c r="BU19" s="20">
        <f t="shared" si="82"/>
        <v>162802.35674174994</v>
      </c>
      <c r="BV19" s="20">
        <f t="shared" si="46"/>
        <v>182338.63955075995</v>
      </c>
      <c r="BW19" s="21">
        <f t="shared" si="83"/>
        <v>6800</v>
      </c>
      <c r="BX19" s="20">
        <f t="shared" si="47"/>
        <v>189138.63955075995</v>
      </c>
      <c r="BY19" s="20">
        <f t="shared" si="48"/>
        <v>221292.20827438912</v>
      </c>
      <c r="BZ19" s="21">
        <f t="shared" si="84"/>
        <v>11800</v>
      </c>
      <c r="CA19" s="20">
        <f t="shared" si="49"/>
        <v>233092.20827438912</v>
      </c>
      <c r="CB19" s="20">
        <f t="shared" si="50"/>
        <v>265725.11743280356</v>
      </c>
      <c r="CC19" s="21">
        <f t="shared" si="85"/>
        <v>13600</v>
      </c>
      <c r="CD19" s="20">
        <f t="shared" si="51"/>
        <v>279325.11743280356</v>
      </c>
      <c r="CE19" s="20">
        <f t="shared" si="52"/>
        <v>312844.13152474002</v>
      </c>
      <c r="CF19" s="21">
        <f t="shared" si="86"/>
        <v>150192.61027560628</v>
      </c>
      <c r="CG19" s="20">
        <f t="shared" si="53"/>
        <v>463036.7418003463</v>
      </c>
      <c r="CH19" s="20">
        <f t="shared" si="54"/>
        <v>509340.41598038096</v>
      </c>
      <c r="CI19" s="21">
        <f t="shared" si="87"/>
        <v>474079.30203548359</v>
      </c>
      <c r="CJ19" s="20">
        <f t="shared" si="55"/>
        <v>983419.71801586449</v>
      </c>
      <c r="CK19" s="20">
        <f t="shared" si="56"/>
        <v>1111264.2813579268</v>
      </c>
      <c r="CL19" s="21">
        <f t="shared" si="88"/>
        <v>1530641.3917494551</v>
      </c>
      <c r="CM19" s="20">
        <f t="shared" si="57"/>
        <v>2641905.6731073819</v>
      </c>
      <c r="CN19" s="20">
        <f t="shared" si="58"/>
        <v>3038191.524073489</v>
      </c>
      <c r="CO19" s="21">
        <f t="shared" si="89"/>
        <v>5028498.1759492634</v>
      </c>
      <c r="CP19" s="20">
        <f t="shared" si="59"/>
        <v>8066689.7000227524</v>
      </c>
      <c r="CQ19" s="20">
        <f t="shared" si="60"/>
        <v>10164029.022028668</v>
      </c>
      <c r="CR19" s="21">
        <f t="shared" si="90"/>
        <v>17434153.765688188</v>
      </c>
      <c r="CS19" s="20">
        <f t="shared" si="61"/>
        <v>27598182.787716858</v>
      </c>
      <c r="CT19" s="20">
        <f t="shared" si="79"/>
        <v>38085492.247049265</v>
      </c>
      <c r="CU19" s="21">
        <f t="shared" si="91"/>
        <v>64616966.029835999</v>
      </c>
      <c r="CV19" s="20">
        <f t="shared" si="62"/>
        <v>102702458.27688527</v>
      </c>
      <c r="CW19" s="20">
        <f t="shared" si="63"/>
        <v>124269974.51503117</v>
      </c>
      <c r="CX19" s="21">
        <f t="shared" si="92"/>
        <v>73600</v>
      </c>
      <c r="CY19" s="20">
        <f t="shared" si="64"/>
        <v>124343574.51503117</v>
      </c>
      <c r="CZ19" s="20">
        <f t="shared" si="65"/>
        <v>151699160.90833804</v>
      </c>
      <c r="DA19" s="21">
        <v>73600</v>
      </c>
      <c r="DB19" s="20">
        <f t="shared" si="66"/>
        <v>151772760.90833804</v>
      </c>
      <c r="DC19" s="20">
        <f t="shared" si="67"/>
        <v>200340044.39900622</v>
      </c>
      <c r="DD19" s="21">
        <v>97600</v>
      </c>
      <c r="DE19" s="20">
        <f t="shared" si="68"/>
        <v>200437644.39900622</v>
      </c>
      <c r="DF19" s="20">
        <f t="shared" si="69"/>
        <v>290634584.37855899</v>
      </c>
      <c r="DG19" s="21">
        <v>170267</v>
      </c>
      <c r="DH19" s="20">
        <f t="shared" si="70"/>
        <v>290804851.37855899</v>
      </c>
    </row>
    <row r="20" spans="1:112">
      <c r="A20" s="25">
        <v>16</v>
      </c>
      <c r="B20" s="20">
        <v>0</v>
      </c>
      <c r="C20" s="21">
        <v>160</v>
      </c>
      <c r="D20" s="20">
        <f t="shared" si="0"/>
        <v>160</v>
      </c>
      <c r="E20" s="20">
        <f t="shared" si="1"/>
        <v>179.20000000000002</v>
      </c>
      <c r="F20" s="21">
        <v>160</v>
      </c>
      <c r="G20" s="20">
        <f t="shared" si="2"/>
        <v>339.20000000000005</v>
      </c>
      <c r="H20" s="20">
        <f t="shared" si="3"/>
        <v>373.12000000000006</v>
      </c>
      <c r="I20" s="21">
        <v>160</v>
      </c>
      <c r="J20" s="20">
        <f t="shared" si="4"/>
        <v>533.12000000000012</v>
      </c>
      <c r="K20" s="20">
        <f t="shared" si="5"/>
        <v>602.42560000000003</v>
      </c>
      <c r="L20" s="21">
        <v>160</v>
      </c>
      <c r="M20" s="20">
        <f t="shared" si="6"/>
        <v>762.42560000000003</v>
      </c>
      <c r="N20" s="20">
        <f t="shared" si="7"/>
        <v>876.78944000000001</v>
      </c>
      <c r="O20" s="21">
        <v>180</v>
      </c>
      <c r="P20" s="20">
        <f t="shared" si="8"/>
        <v>1056.78944</v>
      </c>
      <c r="Q20" s="20">
        <f t="shared" si="9"/>
        <v>1331.5546944</v>
      </c>
      <c r="R20" s="21">
        <v>200</v>
      </c>
      <c r="S20" s="20">
        <f t="shared" si="10"/>
        <v>1531.5546944</v>
      </c>
      <c r="T20" s="20">
        <f t="shared" si="11"/>
        <v>2113.5454782719999</v>
      </c>
      <c r="U20" s="20">
        <v>80</v>
      </c>
      <c r="V20" s="20">
        <f t="shared" si="12"/>
        <v>2193.5454782719999</v>
      </c>
      <c r="W20" s="20">
        <f t="shared" si="13"/>
        <v>2654.1900287091198</v>
      </c>
      <c r="X20" s="21">
        <v>225</v>
      </c>
      <c r="Y20" s="20">
        <f t="shared" si="14"/>
        <v>2879.1900287091198</v>
      </c>
      <c r="Z20" s="20">
        <f t="shared" si="15"/>
        <v>3512.6118350251263</v>
      </c>
      <c r="AA20" s="21">
        <v>250</v>
      </c>
      <c r="AB20" s="20">
        <f t="shared" si="16"/>
        <v>3762.6118350251263</v>
      </c>
      <c r="AC20" s="20">
        <f t="shared" si="17"/>
        <v>4966.6476222331667</v>
      </c>
      <c r="AD20" s="21">
        <v>310</v>
      </c>
      <c r="AE20" s="20">
        <f t="shared" si="18"/>
        <v>5276.6476222331667</v>
      </c>
      <c r="AF20" s="20">
        <f t="shared" si="19"/>
        <v>7651.1390522380916</v>
      </c>
      <c r="AG20" s="21">
        <v>440</v>
      </c>
      <c r="AH20" s="20">
        <f t="shared" si="20"/>
        <v>8091.1390522380916</v>
      </c>
      <c r="AI20" s="20">
        <f t="shared" si="21"/>
        <v>9062.0757385066627</v>
      </c>
      <c r="AJ20" s="21">
        <v>570</v>
      </c>
      <c r="AK20" s="20">
        <f t="shared" si="22"/>
        <v>9632.0757385066627</v>
      </c>
      <c r="AL20" s="20">
        <f t="shared" si="23"/>
        <v>11269.528614052795</v>
      </c>
      <c r="AM20" s="21">
        <v>680</v>
      </c>
      <c r="AN20" s="20">
        <f t="shared" si="24"/>
        <v>11949.528614052795</v>
      </c>
      <c r="AO20" s="20">
        <f t="shared" si="25"/>
        <v>13622.462620020186</v>
      </c>
      <c r="AP20" s="21">
        <v>810</v>
      </c>
      <c r="AQ20" s="20">
        <f t="shared" si="26"/>
        <v>14432.462620020186</v>
      </c>
      <c r="AR20" s="20">
        <f t="shared" si="27"/>
        <v>16164.35813442261</v>
      </c>
      <c r="AS20" s="21">
        <v>1000</v>
      </c>
      <c r="AT20" s="20">
        <f t="shared" si="28"/>
        <v>17164.358134422611</v>
      </c>
      <c r="AU20" s="20">
        <f t="shared" si="29"/>
        <v>18880.793947864873</v>
      </c>
      <c r="AV20" s="21">
        <v>1120</v>
      </c>
      <c r="AW20" s="20">
        <f t="shared" si="30"/>
        <v>20000.793947864873</v>
      </c>
      <c r="AX20" s="20">
        <f t="shared" si="31"/>
        <v>22600.897161087305</v>
      </c>
      <c r="AY20" s="21">
        <v>2250</v>
      </c>
      <c r="AZ20" s="20">
        <f t="shared" si="32"/>
        <v>24850.897161087305</v>
      </c>
      <c r="BA20" s="20">
        <f t="shared" si="33"/>
        <v>28578.531735250399</v>
      </c>
      <c r="BB20" s="21">
        <v>2250</v>
      </c>
      <c r="BC20" s="20">
        <f t="shared" si="34"/>
        <v>30828.531735250399</v>
      </c>
      <c r="BD20" s="20">
        <f t="shared" si="35"/>
        <v>38843.9499864155</v>
      </c>
      <c r="BE20" s="21">
        <v>2250</v>
      </c>
      <c r="BF20" s="20">
        <f t="shared" si="36"/>
        <v>41093.9499864155</v>
      </c>
      <c r="BG20" s="20">
        <f t="shared" si="37"/>
        <v>56709.650981253384</v>
      </c>
      <c r="BH20" s="21">
        <v>2250</v>
      </c>
      <c r="BI20" s="20">
        <f t="shared" si="38"/>
        <v>58959.650981253384</v>
      </c>
      <c r="BJ20" s="20">
        <f t="shared" si="39"/>
        <v>71341.177687316595</v>
      </c>
      <c r="BK20" s="21">
        <v>4000</v>
      </c>
      <c r="BL20" s="20">
        <f t="shared" si="40"/>
        <v>75341.177687316595</v>
      </c>
      <c r="BM20" s="20">
        <f t="shared" si="41"/>
        <v>91916.236778526247</v>
      </c>
      <c r="BN20" s="21">
        <v>4000</v>
      </c>
      <c r="BO20" s="20">
        <f t="shared" si="42"/>
        <v>95916.236778526247</v>
      </c>
      <c r="BP20" s="20">
        <f t="shared" si="43"/>
        <v>105507.86045637888</v>
      </c>
      <c r="BQ20" s="21">
        <v>4500</v>
      </c>
      <c r="BR20" s="20">
        <f t="shared" si="44"/>
        <v>110007.86045637888</v>
      </c>
      <c r="BS20" s="20">
        <f t="shared" si="45"/>
        <v>121008.64650201678</v>
      </c>
      <c r="BT20" s="21">
        <v>49000</v>
      </c>
      <c r="BU20" s="20">
        <f t="shared" si="82"/>
        <v>170008.64650201678</v>
      </c>
      <c r="BV20" s="20">
        <f t="shared" si="46"/>
        <v>190409.68408225881</v>
      </c>
      <c r="BW20" s="21">
        <f t="shared" si="83"/>
        <v>7000</v>
      </c>
      <c r="BX20" s="20">
        <f t="shared" si="47"/>
        <v>197409.68408225881</v>
      </c>
      <c r="BY20" s="20">
        <f t="shared" si="48"/>
        <v>230969.33037624281</v>
      </c>
      <c r="BZ20" s="21">
        <f t="shared" si="84"/>
        <v>12000</v>
      </c>
      <c r="CA20" s="20">
        <f t="shared" si="49"/>
        <v>242969.33037624281</v>
      </c>
      <c r="CB20" s="20">
        <f t="shared" si="50"/>
        <v>276985.0366289168</v>
      </c>
      <c r="CC20" s="21">
        <f t="shared" si="85"/>
        <v>14000</v>
      </c>
      <c r="CD20" s="20">
        <f t="shared" si="51"/>
        <v>290985.0366289168</v>
      </c>
      <c r="CE20" s="20">
        <f t="shared" si="52"/>
        <v>325903.24102438684</v>
      </c>
      <c r="CF20" s="21">
        <f t="shared" si="86"/>
        <v>150592.61027560628</v>
      </c>
      <c r="CG20" s="20">
        <f t="shared" si="53"/>
        <v>476495.85129999311</v>
      </c>
      <c r="CH20" s="20">
        <f t="shared" si="54"/>
        <v>524145.43642999249</v>
      </c>
      <c r="CI20" s="21">
        <f t="shared" si="87"/>
        <v>474479.30203548359</v>
      </c>
      <c r="CJ20" s="20">
        <f t="shared" si="55"/>
        <v>998624.73846547608</v>
      </c>
      <c r="CK20" s="20">
        <f t="shared" si="56"/>
        <v>1128445.9544659879</v>
      </c>
      <c r="CL20" s="21">
        <f t="shared" si="88"/>
        <v>1531041.3917494551</v>
      </c>
      <c r="CM20" s="20">
        <f t="shared" si="57"/>
        <v>2659487.3462154428</v>
      </c>
      <c r="CN20" s="20">
        <f t="shared" si="58"/>
        <v>3058410.4481477588</v>
      </c>
      <c r="CO20" s="21">
        <f t="shared" si="89"/>
        <v>5028898.1759492634</v>
      </c>
      <c r="CP20" s="20">
        <f t="shared" si="59"/>
        <v>8087308.6240970222</v>
      </c>
      <c r="CQ20" s="20">
        <f t="shared" si="60"/>
        <v>10190008.866362248</v>
      </c>
      <c r="CR20" s="21">
        <f t="shared" si="90"/>
        <v>17434553.765688188</v>
      </c>
      <c r="CS20" s="20">
        <f t="shared" si="61"/>
        <v>27624562.632050436</v>
      </c>
      <c r="CT20" s="20">
        <f t="shared" si="79"/>
        <v>38121896.432229601</v>
      </c>
      <c r="CU20" s="21">
        <f t="shared" si="91"/>
        <v>64617366.029835999</v>
      </c>
      <c r="CV20" s="20">
        <f t="shared" si="62"/>
        <v>102739262.46206561</v>
      </c>
      <c r="CW20" s="20">
        <f t="shared" si="63"/>
        <v>124314507.57909939</v>
      </c>
      <c r="CX20" s="21">
        <f t="shared" si="92"/>
        <v>74000</v>
      </c>
      <c r="CY20" s="20">
        <f t="shared" si="64"/>
        <v>124388507.57909939</v>
      </c>
      <c r="CZ20" s="20">
        <f t="shared" si="65"/>
        <v>151753979.24650124</v>
      </c>
      <c r="DA20" s="21">
        <v>74000</v>
      </c>
      <c r="DB20" s="20">
        <f t="shared" si="66"/>
        <v>151827979.24650124</v>
      </c>
      <c r="DC20" s="20">
        <f t="shared" si="67"/>
        <v>200412932.60538164</v>
      </c>
      <c r="DD20" s="21">
        <v>98000</v>
      </c>
      <c r="DE20" s="20">
        <f t="shared" si="68"/>
        <v>200510932.60538164</v>
      </c>
      <c r="DF20" s="20">
        <f t="shared" si="69"/>
        <v>290740852.27780336</v>
      </c>
      <c r="DG20" s="21">
        <v>170667</v>
      </c>
      <c r="DH20" s="20">
        <f t="shared" si="70"/>
        <v>290911519.27780336</v>
      </c>
    </row>
    <row r="21" spans="1:112">
      <c r="A21" s="25">
        <v>17</v>
      </c>
      <c r="B21" s="20">
        <v>0</v>
      </c>
      <c r="C21" s="21">
        <v>170</v>
      </c>
      <c r="D21" s="20">
        <f t="shared" si="0"/>
        <v>170</v>
      </c>
      <c r="E21" s="20">
        <f t="shared" si="1"/>
        <v>190.4</v>
      </c>
      <c r="F21" s="20">
        <v>170</v>
      </c>
      <c r="G21" s="20">
        <f t="shared" si="2"/>
        <v>360.4</v>
      </c>
      <c r="H21" s="20">
        <f t="shared" si="3"/>
        <v>396.44</v>
      </c>
      <c r="I21" s="20">
        <v>170</v>
      </c>
      <c r="J21" s="20">
        <f t="shared" si="4"/>
        <v>566.44000000000005</v>
      </c>
      <c r="K21" s="20">
        <f t="shared" si="5"/>
        <v>640.07719999999995</v>
      </c>
      <c r="L21" s="20">
        <v>170</v>
      </c>
      <c r="M21" s="20">
        <f t="shared" si="6"/>
        <v>810.07719999999995</v>
      </c>
      <c r="N21" s="20">
        <f t="shared" si="7"/>
        <v>931.58877999999982</v>
      </c>
      <c r="O21" s="20">
        <v>190</v>
      </c>
      <c r="P21" s="20">
        <f t="shared" si="8"/>
        <v>1121.5887799999998</v>
      </c>
      <c r="Q21" s="20">
        <f t="shared" si="9"/>
        <v>1413.2018627999998</v>
      </c>
      <c r="R21" s="20">
        <v>210</v>
      </c>
      <c r="S21" s="20">
        <f t="shared" si="10"/>
        <v>1623.2018627999998</v>
      </c>
      <c r="T21" s="20">
        <f t="shared" si="11"/>
        <v>2240.0185706639995</v>
      </c>
      <c r="U21" s="20">
        <v>81</v>
      </c>
      <c r="V21" s="20">
        <f t="shared" si="12"/>
        <v>2321.0185706639995</v>
      </c>
      <c r="W21" s="20">
        <f t="shared" si="13"/>
        <v>2808.4324705034392</v>
      </c>
      <c r="X21" s="20">
        <v>235</v>
      </c>
      <c r="Y21" s="20">
        <f t="shared" si="14"/>
        <v>3043.4324705034392</v>
      </c>
      <c r="Z21" s="20">
        <f t="shared" si="15"/>
        <v>3712.9876140141955</v>
      </c>
      <c r="AA21" s="20">
        <v>260</v>
      </c>
      <c r="AB21" s="20">
        <f t="shared" si="16"/>
        <v>3972.9876140141955</v>
      </c>
      <c r="AC21" s="20">
        <f t="shared" si="17"/>
        <v>5244.3436504987385</v>
      </c>
      <c r="AD21" s="20">
        <v>320</v>
      </c>
      <c r="AE21" s="20">
        <f t="shared" si="18"/>
        <v>5564.3436504987385</v>
      </c>
      <c r="AF21" s="20">
        <f t="shared" si="19"/>
        <v>8068.2982932231707</v>
      </c>
      <c r="AG21" s="21">
        <v>440</v>
      </c>
      <c r="AH21" s="20">
        <f t="shared" si="20"/>
        <v>8508.2982932231716</v>
      </c>
      <c r="AI21" s="20">
        <f t="shared" si="21"/>
        <v>9529.2940884099535</v>
      </c>
      <c r="AJ21" s="20">
        <v>580</v>
      </c>
      <c r="AK21" s="20">
        <f t="shared" si="22"/>
        <v>10109.294088409953</v>
      </c>
      <c r="AL21" s="20">
        <f t="shared" si="23"/>
        <v>11827.874083439645</v>
      </c>
      <c r="AM21" s="20">
        <v>690</v>
      </c>
      <c r="AN21" s="20">
        <f t="shared" si="24"/>
        <v>12517.874083439645</v>
      </c>
      <c r="AO21" s="20">
        <f t="shared" si="25"/>
        <v>14270.376455121193</v>
      </c>
      <c r="AP21" s="20">
        <v>820</v>
      </c>
      <c r="AQ21" s="20">
        <f t="shared" si="26"/>
        <v>15090.376455121193</v>
      </c>
      <c r="AR21" s="20">
        <f t="shared" si="27"/>
        <v>16901.221629735737</v>
      </c>
      <c r="AS21" s="20">
        <v>1010</v>
      </c>
      <c r="AT21" s="20">
        <f t="shared" si="28"/>
        <v>17911.221629735737</v>
      </c>
      <c r="AU21" s="20">
        <f t="shared" si="29"/>
        <v>19702.343792709311</v>
      </c>
      <c r="AV21" s="20">
        <v>1130</v>
      </c>
      <c r="AW21" s="20">
        <f t="shared" si="30"/>
        <v>20832.343792709311</v>
      </c>
      <c r="AX21" s="20">
        <f t="shared" si="31"/>
        <v>23540.548485761519</v>
      </c>
      <c r="AY21" s="20">
        <v>2350</v>
      </c>
      <c r="AZ21" s="20">
        <f t="shared" si="32"/>
        <v>25890.548485761519</v>
      </c>
      <c r="BA21" s="20">
        <f t="shared" si="33"/>
        <v>29774.130758625746</v>
      </c>
      <c r="BB21" s="20">
        <v>2350</v>
      </c>
      <c r="BC21" s="20">
        <f t="shared" si="34"/>
        <v>32124.130758625746</v>
      </c>
      <c r="BD21" s="20">
        <f t="shared" si="35"/>
        <v>40476.40475586844</v>
      </c>
      <c r="BE21" s="20">
        <v>2350</v>
      </c>
      <c r="BF21" s="20">
        <f t="shared" si="36"/>
        <v>42826.40475586844</v>
      </c>
      <c r="BG21" s="20">
        <f t="shared" si="37"/>
        <v>59100.43856309844</v>
      </c>
      <c r="BH21" s="20">
        <v>2350</v>
      </c>
      <c r="BI21" s="20">
        <f t="shared" si="38"/>
        <v>61450.43856309844</v>
      </c>
      <c r="BJ21" s="20">
        <f t="shared" si="39"/>
        <v>74355.030661349112</v>
      </c>
      <c r="BK21" s="20">
        <v>4200</v>
      </c>
      <c r="BL21" s="20">
        <f t="shared" si="40"/>
        <v>78555.030661349112</v>
      </c>
      <c r="BM21" s="20">
        <f t="shared" si="41"/>
        <v>95837.137406845912</v>
      </c>
      <c r="BN21" s="20">
        <v>4200</v>
      </c>
      <c r="BO21" s="20">
        <f t="shared" si="42"/>
        <v>100037.13740684591</v>
      </c>
      <c r="BP21" s="20">
        <f t="shared" si="43"/>
        <v>110040.85114753051</v>
      </c>
      <c r="BQ21" s="20">
        <v>4700</v>
      </c>
      <c r="BR21" s="20">
        <f t="shared" si="44"/>
        <v>114740.85114753051</v>
      </c>
      <c r="BS21" s="20">
        <f t="shared" si="45"/>
        <v>126214.93626228358</v>
      </c>
      <c r="BT21" s="21">
        <v>51000</v>
      </c>
      <c r="BU21" s="20">
        <f t="shared" si="82"/>
        <v>177214.93626228359</v>
      </c>
      <c r="BV21" s="20">
        <f t="shared" si="46"/>
        <v>198480.72861375764</v>
      </c>
      <c r="BW21" s="21">
        <f t="shared" si="83"/>
        <v>7200</v>
      </c>
      <c r="BX21" s="20">
        <f t="shared" si="47"/>
        <v>205680.72861375764</v>
      </c>
      <c r="BY21" s="20">
        <f t="shared" si="48"/>
        <v>240646.45247809644</v>
      </c>
      <c r="BZ21" s="21">
        <f t="shared" si="84"/>
        <v>12200</v>
      </c>
      <c r="CA21" s="20">
        <f t="shared" si="49"/>
        <v>252846.45247809644</v>
      </c>
      <c r="CB21" s="20">
        <f t="shared" si="50"/>
        <v>288244.95582502993</v>
      </c>
      <c r="CC21" s="21">
        <f t="shared" si="85"/>
        <v>14400</v>
      </c>
      <c r="CD21" s="20">
        <f t="shared" si="51"/>
        <v>302644.95582502993</v>
      </c>
      <c r="CE21" s="20">
        <f t="shared" si="52"/>
        <v>338962.35052403354</v>
      </c>
      <c r="CF21" s="21">
        <f t="shared" si="86"/>
        <v>150992.61027560628</v>
      </c>
      <c r="CG21" s="20">
        <f t="shared" si="53"/>
        <v>489954.96079963981</v>
      </c>
      <c r="CH21" s="20">
        <f t="shared" si="54"/>
        <v>538950.45687960379</v>
      </c>
      <c r="CI21" s="21">
        <f t="shared" si="87"/>
        <v>474879.30203548359</v>
      </c>
      <c r="CJ21" s="20">
        <f t="shared" si="55"/>
        <v>1013829.7589150874</v>
      </c>
      <c r="CK21" s="20">
        <f t="shared" si="56"/>
        <v>1145627.6275740487</v>
      </c>
      <c r="CL21" s="21">
        <f t="shared" si="88"/>
        <v>1531441.3917494551</v>
      </c>
      <c r="CM21" s="20">
        <f t="shared" si="57"/>
        <v>2677069.0193235036</v>
      </c>
      <c r="CN21" s="20">
        <f t="shared" si="58"/>
        <v>3078629.3722220287</v>
      </c>
      <c r="CO21" s="21">
        <f t="shared" si="89"/>
        <v>5029298.1759492634</v>
      </c>
      <c r="CP21" s="20">
        <f t="shared" si="59"/>
        <v>8107927.5481712921</v>
      </c>
      <c r="CQ21" s="20">
        <f t="shared" si="60"/>
        <v>10215988.710695827</v>
      </c>
      <c r="CR21" s="21">
        <f t="shared" si="90"/>
        <v>17434953.765688188</v>
      </c>
      <c r="CS21" s="20">
        <f t="shared" si="61"/>
        <v>27650942.476384014</v>
      </c>
      <c r="CT21" s="20">
        <f t="shared" si="79"/>
        <v>38158300.617409937</v>
      </c>
      <c r="CU21" s="21">
        <f t="shared" si="91"/>
        <v>64617766.029835999</v>
      </c>
      <c r="CV21" s="20">
        <f t="shared" si="62"/>
        <v>102776066.64724594</v>
      </c>
      <c r="CW21" s="20">
        <f t="shared" si="63"/>
        <v>124359040.64316759</v>
      </c>
      <c r="CX21" s="21">
        <f t="shared" si="92"/>
        <v>74400</v>
      </c>
      <c r="CY21" s="20">
        <f t="shared" si="64"/>
        <v>124433440.64316759</v>
      </c>
      <c r="CZ21" s="20">
        <f t="shared" si="65"/>
        <v>151808797.58466446</v>
      </c>
      <c r="DA21" s="21">
        <v>74400</v>
      </c>
      <c r="DB21" s="20">
        <f t="shared" si="66"/>
        <v>151883197.58466446</v>
      </c>
      <c r="DC21" s="20">
        <f t="shared" si="67"/>
        <v>200485820.81175709</v>
      </c>
      <c r="DD21" s="21">
        <v>98400</v>
      </c>
      <c r="DE21" s="20">
        <f t="shared" si="68"/>
        <v>200584220.81175709</v>
      </c>
      <c r="DF21" s="20">
        <f t="shared" si="69"/>
        <v>290847120.17704779</v>
      </c>
      <c r="DG21" s="21">
        <v>171067</v>
      </c>
      <c r="DH21" s="20">
        <f t="shared" si="70"/>
        <v>291018187.17704779</v>
      </c>
    </row>
    <row r="22" spans="1:112">
      <c r="A22" s="25">
        <v>18</v>
      </c>
      <c r="B22" s="20">
        <v>0</v>
      </c>
      <c r="C22" s="21">
        <v>180</v>
      </c>
      <c r="D22" s="20">
        <f t="shared" si="0"/>
        <v>180</v>
      </c>
      <c r="E22" s="20">
        <f t="shared" si="1"/>
        <v>201.60000000000002</v>
      </c>
      <c r="F22" s="21">
        <v>180</v>
      </c>
      <c r="G22" s="20">
        <f t="shared" si="2"/>
        <v>381.6</v>
      </c>
      <c r="H22" s="20">
        <f t="shared" si="3"/>
        <v>419.76000000000005</v>
      </c>
      <c r="I22" s="21">
        <v>180</v>
      </c>
      <c r="J22" s="20">
        <f t="shared" si="4"/>
        <v>599.76</v>
      </c>
      <c r="K22" s="20">
        <f t="shared" si="5"/>
        <v>677.72879999999998</v>
      </c>
      <c r="L22" s="21">
        <v>180</v>
      </c>
      <c r="M22" s="20">
        <f t="shared" si="6"/>
        <v>857.72879999999998</v>
      </c>
      <c r="N22" s="20">
        <f t="shared" si="7"/>
        <v>986.38811999999984</v>
      </c>
      <c r="O22" s="21">
        <v>200</v>
      </c>
      <c r="P22" s="20">
        <f t="shared" si="8"/>
        <v>1186.3881199999998</v>
      </c>
      <c r="Q22" s="20">
        <f t="shared" si="9"/>
        <v>1494.8490311999999</v>
      </c>
      <c r="R22" s="21">
        <v>220</v>
      </c>
      <c r="S22" s="20">
        <f t="shared" si="10"/>
        <v>1714.8490311999999</v>
      </c>
      <c r="T22" s="20">
        <f t="shared" si="11"/>
        <v>2366.4916630559997</v>
      </c>
      <c r="U22" s="20">
        <v>82</v>
      </c>
      <c r="V22" s="20">
        <f t="shared" si="12"/>
        <v>2448.4916630559997</v>
      </c>
      <c r="W22" s="20">
        <f t="shared" si="13"/>
        <v>2962.6749122977594</v>
      </c>
      <c r="X22" s="21">
        <v>245</v>
      </c>
      <c r="Y22" s="20">
        <f t="shared" si="14"/>
        <v>3207.6749122977594</v>
      </c>
      <c r="Z22" s="20">
        <f t="shared" si="15"/>
        <v>3913.3633930032665</v>
      </c>
      <c r="AA22" s="21">
        <v>270</v>
      </c>
      <c r="AB22" s="20">
        <f t="shared" si="16"/>
        <v>4183.3633930032665</v>
      </c>
      <c r="AC22" s="20">
        <f t="shared" si="17"/>
        <v>5522.0396787643122</v>
      </c>
      <c r="AD22" s="21">
        <v>330</v>
      </c>
      <c r="AE22" s="20">
        <f t="shared" si="18"/>
        <v>5852.0396787643122</v>
      </c>
      <c r="AF22" s="20">
        <f t="shared" si="19"/>
        <v>8485.4575342082517</v>
      </c>
      <c r="AG22" s="21">
        <v>440</v>
      </c>
      <c r="AH22" s="20">
        <f t="shared" si="20"/>
        <v>8925.4575342082517</v>
      </c>
      <c r="AI22" s="20">
        <f t="shared" si="21"/>
        <v>9996.5124383132425</v>
      </c>
      <c r="AJ22" s="21">
        <v>590</v>
      </c>
      <c r="AK22" s="20">
        <f t="shared" si="22"/>
        <v>10586.512438313242</v>
      </c>
      <c r="AL22" s="20">
        <f t="shared" si="23"/>
        <v>12386.219552826493</v>
      </c>
      <c r="AM22" s="21">
        <v>700</v>
      </c>
      <c r="AN22" s="20">
        <f t="shared" si="24"/>
        <v>13086.219552826493</v>
      </c>
      <c r="AO22" s="20">
        <f t="shared" si="25"/>
        <v>14918.290290222201</v>
      </c>
      <c r="AP22" s="21">
        <v>830</v>
      </c>
      <c r="AQ22" s="20">
        <f t="shared" si="26"/>
        <v>15748.290290222201</v>
      </c>
      <c r="AR22" s="20">
        <f t="shared" si="27"/>
        <v>17638.085125048867</v>
      </c>
      <c r="AS22" s="21">
        <v>1020</v>
      </c>
      <c r="AT22" s="20">
        <f t="shared" si="28"/>
        <v>18658.085125048867</v>
      </c>
      <c r="AU22" s="20">
        <f t="shared" si="29"/>
        <v>20523.893637553756</v>
      </c>
      <c r="AV22" s="21">
        <v>1140</v>
      </c>
      <c r="AW22" s="20">
        <f t="shared" si="30"/>
        <v>21663.893637553756</v>
      </c>
      <c r="AX22" s="20">
        <f t="shared" si="31"/>
        <v>24480.199810435741</v>
      </c>
      <c r="AY22" s="21">
        <v>2450</v>
      </c>
      <c r="AZ22" s="20">
        <f t="shared" si="32"/>
        <v>26930.199810435741</v>
      </c>
      <c r="BA22" s="20">
        <f t="shared" si="33"/>
        <v>30969.729782001101</v>
      </c>
      <c r="BB22" s="21">
        <v>2450</v>
      </c>
      <c r="BC22" s="20">
        <f t="shared" si="34"/>
        <v>33419.729782001101</v>
      </c>
      <c r="BD22" s="20">
        <f t="shared" si="35"/>
        <v>42108.859525321386</v>
      </c>
      <c r="BE22" s="21">
        <v>2450</v>
      </c>
      <c r="BF22" s="20">
        <f t="shared" si="36"/>
        <v>44558.859525321386</v>
      </c>
      <c r="BG22" s="20">
        <f t="shared" si="37"/>
        <v>61491.22614494351</v>
      </c>
      <c r="BH22" s="21">
        <v>2450</v>
      </c>
      <c r="BI22" s="20">
        <f t="shared" si="38"/>
        <v>63941.22614494351</v>
      </c>
      <c r="BJ22" s="20">
        <f t="shared" si="39"/>
        <v>77368.883635381644</v>
      </c>
      <c r="BK22" s="21">
        <v>4400</v>
      </c>
      <c r="BL22" s="20">
        <f t="shared" si="40"/>
        <v>81768.883635381644</v>
      </c>
      <c r="BM22" s="20">
        <f t="shared" si="41"/>
        <v>99758.038035165606</v>
      </c>
      <c r="BN22" s="21">
        <v>4400</v>
      </c>
      <c r="BO22" s="20">
        <f t="shared" si="42"/>
        <v>104158.03803516561</v>
      </c>
      <c r="BP22" s="20">
        <f t="shared" si="43"/>
        <v>114573.84183868217</v>
      </c>
      <c r="BQ22" s="21">
        <v>4900</v>
      </c>
      <c r="BR22" s="20">
        <f t="shared" si="44"/>
        <v>119473.84183868217</v>
      </c>
      <c r="BS22" s="20">
        <f t="shared" si="45"/>
        <v>131421.2260225504</v>
      </c>
      <c r="BT22" s="21">
        <v>52000</v>
      </c>
      <c r="BU22" s="20">
        <f t="shared" si="82"/>
        <v>183421.2260225504</v>
      </c>
      <c r="BV22" s="20">
        <f t="shared" si="46"/>
        <v>205431.77314525648</v>
      </c>
      <c r="BW22" s="21">
        <f t="shared" si="83"/>
        <v>7400</v>
      </c>
      <c r="BX22" s="20">
        <f t="shared" si="47"/>
        <v>212831.77314525648</v>
      </c>
      <c r="BY22" s="20">
        <f t="shared" si="48"/>
        <v>249013.17457995005</v>
      </c>
      <c r="BZ22" s="21">
        <f t="shared" si="84"/>
        <v>12400</v>
      </c>
      <c r="CA22" s="20">
        <f t="shared" si="49"/>
        <v>261413.17457995005</v>
      </c>
      <c r="CB22" s="20">
        <f t="shared" si="50"/>
        <v>298011.01902114303</v>
      </c>
      <c r="CC22" s="21">
        <f t="shared" si="85"/>
        <v>14800</v>
      </c>
      <c r="CD22" s="20">
        <f t="shared" si="51"/>
        <v>312811.01902114303</v>
      </c>
      <c r="CE22" s="20">
        <f t="shared" si="52"/>
        <v>350348.34130368021</v>
      </c>
      <c r="CF22" s="21">
        <f t="shared" si="86"/>
        <v>151392.61027560628</v>
      </c>
      <c r="CG22" s="20">
        <f t="shared" si="53"/>
        <v>501740.95157928648</v>
      </c>
      <c r="CH22" s="20">
        <f t="shared" si="54"/>
        <v>551915.04673721513</v>
      </c>
      <c r="CI22" s="21">
        <f t="shared" si="87"/>
        <v>475279.30203548359</v>
      </c>
      <c r="CJ22" s="20">
        <f t="shared" si="55"/>
        <v>1027194.3487726988</v>
      </c>
      <c r="CK22" s="20">
        <f t="shared" si="56"/>
        <v>1160729.6141131495</v>
      </c>
      <c r="CL22" s="21">
        <f t="shared" si="88"/>
        <v>1531841.3917494551</v>
      </c>
      <c r="CM22" s="20">
        <f t="shared" si="57"/>
        <v>2692571.0058626048</v>
      </c>
      <c r="CN22" s="20">
        <f t="shared" si="58"/>
        <v>3096456.6567419954</v>
      </c>
      <c r="CO22" s="21">
        <f t="shared" si="89"/>
        <v>5029698.1759492634</v>
      </c>
      <c r="CP22" s="20">
        <f t="shared" si="59"/>
        <v>8126154.8326912588</v>
      </c>
      <c r="CQ22" s="20">
        <f t="shared" si="60"/>
        <v>10238955.089190986</v>
      </c>
      <c r="CR22" s="21">
        <f t="shared" si="90"/>
        <v>17435353.765688188</v>
      </c>
      <c r="CS22" s="20">
        <f t="shared" si="61"/>
        <v>27674308.854879174</v>
      </c>
      <c r="CT22" s="20">
        <f t="shared" si="79"/>
        <v>38190546.219733261</v>
      </c>
      <c r="CU22" s="21">
        <f t="shared" si="91"/>
        <v>64618166.029835999</v>
      </c>
      <c r="CV22" s="20">
        <f t="shared" si="62"/>
        <v>102808712.24956927</v>
      </c>
      <c r="CW22" s="20">
        <f t="shared" si="63"/>
        <v>124398541.82197881</v>
      </c>
      <c r="CX22" s="21">
        <f t="shared" si="92"/>
        <v>74800</v>
      </c>
      <c r="CY22" s="20">
        <f t="shared" si="64"/>
        <v>124473341.82197881</v>
      </c>
      <c r="CZ22" s="20">
        <f t="shared" si="65"/>
        <v>151857477.02281415</v>
      </c>
      <c r="DA22" s="21">
        <v>74800</v>
      </c>
      <c r="DB22" s="20">
        <f t="shared" si="66"/>
        <v>151932277.02281415</v>
      </c>
      <c r="DC22" s="20">
        <f t="shared" si="67"/>
        <v>200550605.6701147</v>
      </c>
      <c r="DD22" s="21">
        <v>98800</v>
      </c>
      <c r="DE22" s="20">
        <f t="shared" si="68"/>
        <v>200649405.6701147</v>
      </c>
      <c r="DF22" s="20">
        <f t="shared" si="69"/>
        <v>290941638.22166628</v>
      </c>
      <c r="DG22" s="21">
        <v>171467</v>
      </c>
      <c r="DH22" s="20">
        <f t="shared" si="70"/>
        <v>291113105.22166628</v>
      </c>
    </row>
    <row r="23" spans="1:112">
      <c r="A23" s="25">
        <v>19</v>
      </c>
      <c r="B23" s="20">
        <v>0</v>
      </c>
      <c r="C23" s="21">
        <v>190</v>
      </c>
      <c r="D23" s="20">
        <f t="shared" si="0"/>
        <v>190</v>
      </c>
      <c r="E23" s="20">
        <f t="shared" si="1"/>
        <v>212.8</v>
      </c>
      <c r="F23" s="20">
        <v>190</v>
      </c>
      <c r="G23" s="20">
        <f t="shared" si="2"/>
        <v>402.8</v>
      </c>
      <c r="H23" s="20">
        <f t="shared" si="3"/>
        <v>443.08000000000004</v>
      </c>
      <c r="I23" s="20">
        <v>190</v>
      </c>
      <c r="J23" s="20">
        <f t="shared" si="4"/>
        <v>633.08000000000004</v>
      </c>
      <c r="K23" s="20">
        <f t="shared" si="5"/>
        <v>715.38040000000001</v>
      </c>
      <c r="L23" s="20">
        <v>190</v>
      </c>
      <c r="M23" s="20">
        <f t="shared" si="6"/>
        <v>905.38040000000001</v>
      </c>
      <c r="N23" s="20">
        <f t="shared" si="7"/>
        <v>1041.1874599999999</v>
      </c>
      <c r="O23" s="20">
        <v>210</v>
      </c>
      <c r="P23" s="20">
        <f t="shared" si="8"/>
        <v>1251.1874599999999</v>
      </c>
      <c r="Q23" s="20">
        <f t="shared" si="9"/>
        <v>1576.4961996</v>
      </c>
      <c r="R23" s="20">
        <v>230</v>
      </c>
      <c r="S23" s="20">
        <f t="shared" si="10"/>
        <v>1806.4961996</v>
      </c>
      <c r="T23" s="20">
        <f t="shared" si="11"/>
        <v>2492.9647554479998</v>
      </c>
      <c r="U23" s="20">
        <v>83</v>
      </c>
      <c r="V23" s="20">
        <f t="shared" si="12"/>
        <v>2575.9647554479998</v>
      </c>
      <c r="W23" s="20">
        <f t="shared" si="13"/>
        <v>3116.9173540920797</v>
      </c>
      <c r="X23" s="20">
        <v>255</v>
      </c>
      <c r="Y23" s="20">
        <f t="shared" si="14"/>
        <v>3371.9173540920797</v>
      </c>
      <c r="Z23" s="20">
        <f t="shared" si="15"/>
        <v>4113.7391719923371</v>
      </c>
      <c r="AA23" s="20">
        <v>280</v>
      </c>
      <c r="AB23" s="20">
        <f t="shared" si="16"/>
        <v>4393.7391719923371</v>
      </c>
      <c r="AC23" s="20">
        <f t="shared" si="17"/>
        <v>5799.7357070298849</v>
      </c>
      <c r="AD23" s="20">
        <v>340</v>
      </c>
      <c r="AE23" s="20">
        <f t="shared" si="18"/>
        <v>6139.7357070298849</v>
      </c>
      <c r="AF23" s="20">
        <f t="shared" si="19"/>
        <v>8902.6167751933335</v>
      </c>
      <c r="AG23" s="21">
        <v>440</v>
      </c>
      <c r="AH23" s="20">
        <f t="shared" si="20"/>
        <v>9342.6167751933335</v>
      </c>
      <c r="AI23" s="20">
        <f t="shared" si="21"/>
        <v>10463.730788216535</v>
      </c>
      <c r="AJ23" s="20">
        <v>600</v>
      </c>
      <c r="AK23" s="20">
        <f t="shared" si="22"/>
        <v>11063.730788216535</v>
      </c>
      <c r="AL23" s="20">
        <f t="shared" si="23"/>
        <v>12944.565022213344</v>
      </c>
      <c r="AM23" s="20">
        <v>710</v>
      </c>
      <c r="AN23" s="20">
        <f t="shared" si="24"/>
        <v>13654.565022213344</v>
      </c>
      <c r="AO23" s="20">
        <f t="shared" si="25"/>
        <v>15566.204125323211</v>
      </c>
      <c r="AP23" s="20">
        <v>840</v>
      </c>
      <c r="AQ23" s="20">
        <f t="shared" si="26"/>
        <v>16406.204125323209</v>
      </c>
      <c r="AR23" s="20">
        <f t="shared" si="27"/>
        <v>18374.948620361996</v>
      </c>
      <c r="AS23" s="20">
        <v>1030</v>
      </c>
      <c r="AT23" s="20">
        <f t="shared" si="28"/>
        <v>19404.948620361996</v>
      </c>
      <c r="AU23" s="20">
        <f t="shared" si="29"/>
        <v>21345.443482398197</v>
      </c>
      <c r="AV23" s="20">
        <v>1150</v>
      </c>
      <c r="AW23" s="20">
        <f t="shared" si="30"/>
        <v>22495.443482398197</v>
      </c>
      <c r="AX23" s="20">
        <f t="shared" si="31"/>
        <v>25419.851135109962</v>
      </c>
      <c r="AY23" s="20">
        <v>2550</v>
      </c>
      <c r="AZ23" s="20">
        <f t="shared" si="32"/>
        <v>27969.851135109962</v>
      </c>
      <c r="BA23" s="20">
        <f t="shared" si="33"/>
        <v>32165.328805376455</v>
      </c>
      <c r="BB23" s="20">
        <v>2550</v>
      </c>
      <c r="BC23" s="20">
        <f t="shared" si="34"/>
        <v>34715.328805376455</v>
      </c>
      <c r="BD23" s="20">
        <f t="shared" si="35"/>
        <v>43741.314294774333</v>
      </c>
      <c r="BE23" s="20">
        <v>2550</v>
      </c>
      <c r="BF23" s="20">
        <f t="shared" si="36"/>
        <v>46291.314294774333</v>
      </c>
      <c r="BG23" s="20">
        <f t="shared" si="37"/>
        <v>63882.013726788573</v>
      </c>
      <c r="BH23" s="20">
        <v>2550</v>
      </c>
      <c r="BI23" s="20">
        <f t="shared" si="38"/>
        <v>66432.013726788573</v>
      </c>
      <c r="BJ23" s="20">
        <f t="shared" si="39"/>
        <v>80382.736609414176</v>
      </c>
      <c r="BK23" s="20">
        <v>4600</v>
      </c>
      <c r="BL23" s="20">
        <f t="shared" si="40"/>
        <v>84982.736609414176</v>
      </c>
      <c r="BM23" s="20">
        <f t="shared" si="41"/>
        <v>103678.9386634853</v>
      </c>
      <c r="BN23" s="20">
        <v>4600</v>
      </c>
      <c r="BO23" s="20">
        <f t="shared" si="42"/>
        <v>108278.9386634853</v>
      </c>
      <c r="BP23" s="20">
        <f t="shared" si="43"/>
        <v>119106.83252983385</v>
      </c>
      <c r="BQ23" s="20">
        <v>5100</v>
      </c>
      <c r="BR23" s="20">
        <f t="shared" si="44"/>
        <v>124206.83252983385</v>
      </c>
      <c r="BS23" s="20">
        <f t="shared" si="45"/>
        <v>136627.51578281724</v>
      </c>
      <c r="BT23" s="21">
        <v>55000</v>
      </c>
      <c r="BU23" s="20">
        <f t="shared" si="82"/>
        <v>191627.51578281724</v>
      </c>
      <c r="BV23" s="20">
        <f t="shared" si="46"/>
        <v>214622.81767675534</v>
      </c>
      <c r="BW23" s="21">
        <f t="shared" si="83"/>
        <v>7600</v>
      </c>
      <c r="BX23" s="20">
        <f t="shared" si="47"/>
        <v>222222.81767675534</v>
      </c>
      <c r="BY23" s="20">
        <f t="shared" si="48"/>
        <v>260000.69668180373</v>
      </c>
      <c r="BZ23" s="21">
        <f t="shared" si="84"/>
        <v>12600</v>
      </c>
      <c r="CA23" s="20">
        <f t="shared" si="49"/>
        <v>272600.69668180373</v>
      </c>
      <c r="CB23" s="20">
        <f t="shared" si="50"/>
        <v>310764.79421725625</v>
      </c>
      <c r="CC23" s="21">
        <f t="shared" si="85"/>
        <v>15200</v>
      </c>
      <c r="CD23" s="20">
        <f t="shared" si="51"/>
        <v>325964.79421725625</v>
      </c>
      <c r="CE23" s="20">
        <f t="shared" si="52"/>
        <v>365080.56952332705</v>
      </c>
      <c r="CF23" s="21">
        <f t="shared" si="86"/>
        <v>151792.61027560628</v>
      </c>
      <c r="CG23" s="20">
        <f t="shared" si="53"/>
        <v>516873.17979893333</v>
      </c>
      <c r="CH23" s="20">
        <f t="shared" si="54"/>
        <v>568560.49777882674</v>
      </c>
      <c r="CI23" s="21">
        <f t="shared" si="87"/>
        <v>475679.30203548359</v>
      </c>
      <c r="CJ23" s="20">
        <f t="shared" si="55"/>
        <v>1044239.7998143104</v>
      </c>
      <c r="CK23" s="20">
        <f t="shared" si="56"/>
        <v>1179990.9737901706</v>
      </c>
      <c r="CL23" s="21">
        <f t="shared" si="88"/>
        <v>1532241.3917494551</v>
      </c>
      <c r="CM23" s="20">
        <f t="shared" si="57"/>
        <v>2712232.3655396258</v>
      </c>
      <c r="CN23" s="20">
        <f t="shared" si="58"/>
        <v>3119067.2203705693</v>
      </c>
      <c r="CO23" s="21">
        <f t="shared" si="89"/>
        <v>5030098.1759492634</v>
      </c>
      <c r="CP23" s="20">
        <f t="shared" si="59"/>
        <v>8149165.3963198327</v>
      </c>
      <c r="CQ23" s="20">
        <f t="shared" si="60"/>
        <v>10267948.399362989</v>
      </c>
      <c r="CR23" s="21">
        <f t="shared" si="90"/>
        <v>17435753.765688188</v>
      </c>
      <c r="CS23" s="20">
        <f t="shared" si="61"/>
        <v>27703702.165051177</v>
      </c>
      <c r="CT23" s="20">
        <f t="shared" si="79"/>
        <v>38231108.987770624</v>
      </c>
      <c r="CU23" s="21">
        <f t="shared" si="91"/>
        <v>64618566.029835999</v>
      </c>
      <c r="CV23" s="20">
        <f t="shared" si="62"/>
        <v>102849675.01760662</v>
      </c>
      <c r="CW23" s="20">
        <f t="shared" si="63"/>
        <v>124448106.771304</v>
      </c>
      <c r="CX23" s="21">
        <f t="shared" si="92"/>
        <v>75200</v>
      </c>
      <c r="CY23" s="20">
        <f t="shared" si="64"/>
        <v>124523306.771304</v>
      </c>
      <c r="CZ23" s="20">
        <f t="shared" si="65"/>
        <v>151918434.26099086</v>
      </c>
      <c r="DA23" s="21">
        <v>75200</v>
      </c>
      <c r="DB23" s="20">
        <f t="shared" si="66"/>
        <v>151993634.26099086</v>
      </c>
      <c r="DC23" s="20">
        <f t="shared" si="67"/>
        <v>200631597.22450793</v>
      </c>
      <c r="DD23" s="21">
        <v>99200</v>
      </c>
      <c r="DE23" s="20">
        <f t="shared" si="68"/>
        <v>200730797.22450793</v>
      </c>
      <c r="DF23" s="20">
        <f t="shared" si="69"/>
        <v>291059655.97553647</v>
      </c>
      <c r="DG23" s="21">
        <v>171867</v>
      </c>
      <c r="DH23" s="20">
        <f t="shared" si="70"/>
        <v>291231522.97553647</v>
      </c>
    </row>
    <row r="24" spans="1:112">
      <c r="A24" s="25">
        <v>20</v>
      </c>
      <c r="B24" s="20">
        <v>0</v>
      </c>
      <c r="C24" s="21">
        <v>200</v>
      </c>
      <c r="D24" s="20">
        <f t="shared" si="0"/>
        <v>200</v>
      </c>
      <c r="E24" s="20">
        <f t="shared" si="1"/>
        <v>224.00000000000003</v>
      </c>
      <c r="F24" s="21">
        <v>200</v>
      </c>
      <c r="G24" s="20">
        <f t="shared" si="2"/>
        <v>424</v>
      </c>
      <c r="H24" s="20">
        <f t="shared" si="3"/>
        <v>466.40000000000003</v>
      </c>
      <c r="I24" s="21">
        <v>200</v>
      </c>
      <c r="J24" s="20">
        <f t="shared" si="4"/>
        <v>666.40000000000009</v>
      </c>
      <c r="K24" s="20">
        <f t="shared" si="5"/>
        <v>753.03200000000004</v>
      </c>
      <c r="L24" s="21">
        <v>200</v>
      </c>
      <c r="M24" s="20">
        <f t="shared" si="6"/>
        <v>953.03200000000004</v>
      </c>
      <c r="N24" s="20">
        <f t="shared" si="7"/>
        <v>1095.9867999999999</v>
      </c>
      <c r="O24" s="21">
        <v>220</v>
      </c>
      <c r="P24" s="20">
        <f>O24+N24</f>
        <v>1315.9867999999999</v>
      </c>
      <c r="Q24" s="20">
        <f t="shared" si="9"/>
        <v>1658.1433679999998</v>
      </c>
      <c r="R24" s="21">
        <v>240</v>
      </c>
      <c r="S24" s="20">
        <f t="shared" si="10"/>
        <v>1898.1433679999998</v>
      </c>
      <c r="T24" s="20">
        <f t="shared" si="11"/>
        <v>2619.4378478399994</v>
      </c>
      <c r="U24" s="20">
        <v>84</v>
      </c>
      <c r="V24" s="20">
        <f t="shared" si="12"/>
        <v>2703.4378478399994</v>
      </c>
      <c r="W24" s="20">
        <f t="shared" si="13"/>
        <v>3271.159795886399</v>
      </c>
      <c r="X24" s="21">
        <v>265</v>
      </c>
      <c r="Y24" s="20">
        <f t="shared" si="14"/>
        <v>3536.159795886399</v>
      </c>
      <c r="Z24" s="20">
        <f t="shared" si="15"/>
        <v>4314.1149509814068</v>
      </c>
      <c r="AA24" s="21">
        <v>290</v>
      </c>
      <c r="AB24" s="20">
        <f t="shared" si="16"/>
        <v>4604.1149509814068</v>
      </c>
      <c r="AC24" s="20">
        <f t="shared" si="17"/>
        <v>6077.4317352954577</v>
      </c>
      <c r="AD24" s="21">
        <v>350</v>
      </c>
      <c r="AE24" s="20">
        <f t="shared" si="18"/>
        <v>6427.4317352954577</v>
      </c>
      <c r="AF24" s="20">
        <f t="shared" si="19"/>
        <v>9319.7760161784136</v>
      </c>
      <c r="AG24" s="21">
        <v>440</v>
      </c>
      <c r="AH24" s="20">
        <f t="shared" si="20"/>
        <v>9759.7760161784136</v>
      </c>
      <c r="AI24" s="20">
        <f t="shared" si="21"/>
        <v>10930.949138119824</v>
      </c>
      <c r="AJ24" s="21">
        <v>610</v>
      </c>
      <c r="AK24" s="20">
        <f t="shared" si="22"/>
        <v>11540.949138119824</v>
      </c>
      <c r="AL24" s="20">
        <f t="shared" si="23"/>
        <v>13502.910491600192</v>
      </c>
      <c r="AM24" s="21">
        <v>720</v>
      </c>
      <c r="AN24" s="20">
        <f t="shared" si="24"/>
        <v>14222.910491600192</v>
      </c>
      <c r="AO24" s="20">
        <f t="shared" si="25"/>
        <v>16214.117960424219</v>
      </c>
      <c r="AP24" s="21">
        <v>850</v>
      </c>
      <c r="AQ24" s="20">
        <f t="shared" si="26"/>
        <v>17064.117960424221</v>
      </c>
      <c r="AR24" s="20">
        <f t="shared" si="27"/>
        <v>19111.812115675129</v>
      </c>
      <c r="AS24" s="21">
        <v>1040</v>
      </c>
      <c r="AT24" s="20">
        <f t="shared" si="28"/>
        <v>20151.812115675129</v>
      </c>
      <c r="AU24" s="20">
        <f t="shared" si="29"/>
        <v>22166.993327242642</v>
      </c>
      <c r="AV24" s="21">
        <v>1160</v>
      </c>
      <c r="AW24" s="20">
        <f t="shared" si="30"/>
        <v>23326.993327242642</v>
      </c>
      <c r="AX24" s="20">
        <f t="shared" si="31"/>
        <v>26359.502459784184</v>
      </c>
      <c r="AY24" s="21">
        <v>2650</v>
      </c>
      <c r="AZ24" s="20">
        <f t="shared" si="32"/>
        <v>29009.502459784184</v>
      </c>
      <c r="BA24" s="20">
        <f t="shared" si="33"/>
        <v>33360.92782875181</v>
      </c>
      <c r="BB24" s="21">
        <v>2650</v>
      </c>
      <c r="BC24" s="20">
        <f t="shared" si="34"/>
        <v>36010.92782875181</v>
      </c>
      <c r="BD24" s="20">
        <f t="shared" si="35"/>
        <v>45373.769064227279</v>
      </c>
      <c r="BE24" s="21">
        <v>2650</v>
      </c>
      <c r="BF24" s="20">
        <f t="shared" si="36"/>
        <v>48023.769064227279</v>
      </c>
      <c r="BG24" s="20">
        <f t="shared" si="37"/>
        <v>66272.801308633643</v>
      </c>
      <c r="BH24" s="21">
        <v>2650</v>
      </c>
      <c r="BI24" s="20">
        <f t="shared" si="38"/>
        <v>68922.801308633643</v>
      </c>
      <c r="BJ24" s="20">
        <f t="shared" si="39"/>
        <v>83396.589583446708</v>
      </c>
      <c r="BK24" s="21">
        <v>4800</v>
      </c>
      <c r="BL24" s="20">
        <f t="shared" si="40"/>
        <v>88196.589583446708</v>
      </c>
      <c r="BM24" s="20">
        <f t="shared" si="41"/>
        <v>107599.83929180498</v>
      </c>
      <c r="BN24" s="21">
        <v>4800</v>
      </c>
      <c r="BO24" s="20">
        <f t="shared" si="42"/>
        <v>112399.83929180498</v>
      </c>
      <c r="BP24" s="20">
        <f t="shared" si="43"/>
        <v>123639.82322098549</v>
      </c>
      <c r="BQ24" s="21">
        <v>5300</v>
      </c>
      <c r="BR24" s="20">
        <f t="shared" si="44"/>
        <v>128939.82322098549</v>
      </c>
      <c r="BS24" s="20">
        <f t="shared" si="45"/>
        <v>141833.80554308405</v>
      </c>
      <c r="BT24" s="21">
        <v>57000</v>
      </c>
      <c r="BU24" s="20">
        <f t="shared" si="82"/>
        <v>198833.80554308405</v>
      </c>
      <c r="BV24" s="20">
        <f t="shared" si="46"/>
        <v>222693.86220825414</v>
      </c>
      <c r="BW24" s="21">
        <f t="shared" si="83"/>
        <v>7800</v>
      </c>
      <c r="BX24" s="20">
        <f t="shared" si="47"/>
        <v>230493.86220825414</v>
      </c>
      <c r="BY24" s="20">
        <f t="shared" si="48"/>
        <v>269677.81878365733</v>
      </c>
      <c r="BZ24" s="21">
        <f t="shared" si="84"/>
        <v>12800</v>
      </c>
      <c r="CA24" s="20">
        <f t="shared" si="49"/>
        <v>282477.81878365733</v>
      </c>
      <c r="CB24" s="20">
        <f>CA24*1.14</f>
        <v>322024.71341336932</v>
      </c>
      <c r="CC24" s="21">
        <f t="shared" si="85"/>
        <v>15600</v>
      </c>
      <c r="CD24" s="20">
        <f t="shared" si="51"/>
        <v>337624.71341336932</v>
      </c>
      <c r="CE24" s="20">
        <f t="shared" si="52"/>
        <v>378139.67902297369</v>
      </c>
      <c r="CF24" s="21">
        <f t="shared" si="86"/>
        <v>152192.61027560628</v>
      </c>
      <c r="CG24" s="20">
        <f>CE24+CF24</f>
        <v>530332.28929858003</v>
      </c>
      <c r="CH24" s="20">
        <f t="shared" si="54"/>
        <v>583365.5182284381</v>
      </c>
      <c r="CI24" s="21">
        <f t="shared" si="87"/>
        <v>476079.30203548359</v>
      </c>
      <c r="CJ24" s="20">
        <f t="shared" si="55"/>
        <v>1059444.8202639217</v>
      </c>
      <c r="CK24" s="20">
        <f t="shared" si="56"/>
        <v>1197172.6468982315</v>
      </c>
      <c r="CL24" s="21">
        <f t="shared" si="88"/>
        <v>1532641.3917494551</v>
      </c>
      <c r="CM24" s="20">
        <f t="shared" si="57"/>
        <v>2729814.0386476866</v>
      </c>
      <c r="CN24" s="20">
        <f t="shared" si="58"/>
        <v>3139286.1444448396</v>
      </c>
      <c r="CO24" s="21">
        <f t="shared" si="89"/>
        <v>5030498.1759492634</v>
      </c>
      <c r="CP24" s="20">
        <f t="shared" si="59"/>
        <v>8169784.3203941025</v>
      </c>
      <c r="CQ24" s="20">
        <f t="shared" si="60"/>
        <v>10293928.243696569</v>
      </c>
      <c r="CR24" s="21">
        <f t="shared" si="90"/>
        <v>17436153.765688188</v>
      </c>
      <c r="CS24" s="20">
        <f>CR24+CQ24</f>
        <v>27730082.009384759</v>
      </c>
      <c r="CT24" s="20">
        <f t="shared" si="79"/>
        <v>38267513.172950961</v>
      </c>
      <c r="CU24" s="21">
        <f t="shared" si="91"/>
        <v>64618966.029835999</v>
      </c>
      <c r="CV24" s="20">
        <f t="shared" si="62"/>
        <v>102886479.20278695</v>
      </c>
      <c r="CW24" s="20">
        <f t="shared" si="63"/>
        <v>124492639.83537221</v>
      </c>
      <c r="CX24" s="21">
        <f t="shared" si="92"/>
        <v>75600</v>
      </c>
      <c r="CY24" s="20">
        <f t="shared" si="64"/>
        <v>124568239.83537221</v>
      </c>
      <c r="CZ24" s="20">
        <f t="shared" si="65"/>
        <v>151973252.59915408</v>
      </c>
      <c r="DA24" s="21">
        <v>75600</v>
      </c>
      <c r="DB24" s="20">
        <f t="shared" si="66"/>
        <v>152048852.59915408</v>
      </c>
      <c r="DC24" s="20">
        <f t="shared" si="67"/>
        <v>200704485.43088341</v>
      </c>
      <c r="DD24" s="21">
        <v>99600</v>
      </c>
      <c r="DE24" s="20">
        <f t="shared" si="68"/>
        <v>200804085.43088341</v>
      </c>
      <c r="DF24" s="20">
        <f t="shared" si="69"/>
        <v>291165923.87478095</v>
      </c>
      <c r="DG24" s="21">
        <v>172267</v>
      </c>
      <c r="DH24" s="20">
        <f t="shared" si="70"/>
        <v>291338190.87478095</v>
      </c>
    </row>
    <row r="33" s="22" customFormat="1"/>
    <row r="34" s="22" customFormat="1"/>
    <row r="35" s="22" customFormat="1"/>
    <row r="36" s="22" customFormat="1"/>
    <row r="37" s="22" customFormat="1"/>
    <row r="38" s="22" customFormat="1"/>
    <row r="39" s="22" customFormat="1"/>
    <row r="40" s="22" customFormat="1"/>
    <row r="41" s="22" customFormat="1"/>
    <row r="42" s="22" customFormat="1"/>
    <row r="43" s="22" customFormat="1"/>
    <row r="44" s="22" customFormat="1"/>
    <row r="45" s="22" customFormat="1"/>
    <row r="46" s="22" customFormat="1"/>
    <row r="47" s="22" customFormat="1"/>
    <row r="48" s="22" customFormat="1"/>
    <row r="49" s="22" customFormat="1"/>
    <row r="50" s="22" customFormat="1"/>
    <row r="51" s="22" customFormat="1"/>
    <row r="52" s="22" customFormat="1"/>
    <row r="53" s="22" customFormat="1"/>
    <row r="54" s="22" customFormat="1"/>
    <row r="55" s="22" customFormat="1"/>
    <row r="56" s="22" customFormat="1"/>
    <row r="57" s="22" customFormat="1"/>
    <row r="58" s="22" customFormat="1"/>
    <row r="59" s="22" customFormat="1"/>
    <row r="60" s="22" customFormat="1"/>
    <row r="61" s="22" customFormat="1"/>
    <row r="62" s="22" customFormat="1"/>
    <row r="63" s="22" customFormat="1"/>
    <row r="64" s="22" customFormat="1"/>
    <row r="65" s="22" customFormat="1"/>
    <row r="66" s="22" customFormat="1"/>
    <row r="67" s="22" customFormat="1"/>
    <row r="68" s="22" customFormat="1"/>
    <row r="69" s="22" customFormat="1"/>
    <row r="70" s="22" customFormat="1"/>
    <row r="71" s="22" customFormat="1"/>
    <row r="72" s="22" customFormat="1"/>
    <row r="73" s="22" customFormat="1"/>
    <row r="74" s="22" customFormat="1"/>
    <row r="75" s="22" customFormat="1"/>
    <row r="76" s="22" customFormat="1"/>
    <row r="77" s="22" customFormat="1"/>
    <row r="78" s="22" customFormat="1"/>
    <row r="79" s="22" customFormat="1"/>
    <row r="80" s="22" customFormat="1"/>
    <row r="81" s="22" customFormat="1"/>
    <row r="82" s="22" customFormat="1"/>
    <row r="83" s="22" customFormat="1"/>
    <row r="84" s="22" customFormat="1"/>
    <row r="85" s="22" customFormat="1"/>
    <row r="86" s="22" customFormat="1"/>
    <row r="87" s="22" customFormat="1"/>
    <row r="88" s="22" customFormat="1"/>
    <row r="89" s="22" customFormat="1"/>
    <row r="90" s="22" customFormat="1"/>
    <row r="91" s="22" customFormat="1"/>
    <row r="92" s="22" customFormat="1"/>
    <row r="93" s="22" customFormat="1"/>
    <row r="94" s="22" customFormat="1"/>
    <row r="95" s="22" customFormat="1"/>
    <row r="96" s="22" customFormat="1"/>
    <row r="97" s="22" customFormat="1"/>
    <row r="98" s="22" customFormat="1"/>
    <row r="99" s="22" customFormat="1"/>
    <row r="100" s="22" customFormat="1"/>
    <row r="101" s="22" customFormat="1"/>
    <row r="102" s="22" customFormat="1"/>
    <row r="103" s="22" customFormat="1"/>
    <row r="104" s="22" customFormat="1"/>
    <row r="105" s="22" customFormat="1"/>
    <row r="106" s="22" customFormat="1"/>
    <row r="107" s="22" customFormat="1"/>
    <row r="108" s="22" customFormat="1"/>
    <row r="109" s="22" customFormat="1"/>
    <row r="110" s="22" customFormat="1"/>
    <row r="111" s="22" customFormat="1"/>
    <row r="112" s="22" customFormat="1"/>
    <row r="113" s="22" customFormat="1"/>
    <row r="114" s="22" customFormat="1"/>
    <row r="115" s="22" customFormat="1"/>
    <row r="116" s="22" customFormat="1"/>
    <row r="117" s="22" customFormat="1"/>
    <row r="118" s="22" customFormat="1"/>
    <row r="119" s="22" customFormat="1"/>
    <row r="120" s="22" customFormat="1"/>
    <row r="121" s="22" customFormat="1"/>
    <row r="122" s="22" customFormat="1"/>
    <row r="123" s="22" customFormat="1"/>
    <row r="124" s="22" customFormat="1"/>
    <row r="125" s="22" customFormat="1"/>
    <row r="126" s="22" customFormat="1"/>
    <row r="127" s="22" customFormat="1"/>
    <row r="128" s="22" customFormat="1"/>
    <row r="129" s="22" customFormat="1"/>
    <row r="130" s="22" customFormat="1"/>
    <row r="131" s="22" customFormat="1"/>
    <row r="132" s="22" customFormat="1"/>
    <row r="133" s="22" customFormat="1"/>
    <row r="134" s="22" customFormat="1"/>
    <row r="135" s="22" customFormat="1"/>
    <row r="136" s="22" customFormat="1"/>
    <row r="137" s="22" customFormat="1"/>
    <row r="138" s="22" customFormat="1"/>
    <row r="139" s="22" customFormat="1"/>
    <row r="140" s="22" customFormat="1"/>
    <row r="141" s="22" customFormat="1"/>
    <row r="142" s="22" customFormat="1"/>
    <row r="143" s="22" customFormat="1"/>
    <row r="144" s="22" customFormat="1"/>
    <row r="145" s="22" customFormat="1"/>
    <row r="146" s="22" customFormat="1"/>
    <row r="147" s="22" customFormat="1"/>
    <row r="148" s="22" customFormat="1"/>
    <row r="149" s="22" customFormat="1"/>
    <row r="150" s="22" customFormat="1"/>
    <row r="151" s="22" customFormat="1"/>
    <row r="152" s="22" customFormat="1"/>
    <row r="153" s="22" customFormat="1"/>
    <row r="154" s="22" customFormat="1"/>
    <row r="155" s="22" customFormat="1"/>
    <row r="156" s="22" customFormat="1"/>
    <row r="157" s="22" customFormat="1"/>
    <row r="158" s="22" customFormat="1"/>
    <row r="159" s="22" customFormat="1"/>
    <row r="160" s="22" customFormat="1"/>
    <row r="161" s="22" customFormat="1"/>
    <row r="162" s="22" customFormat="1"/>
    <row r="163" s="22" customFormat="1"/>
    <row r="164" s="22" customFormat="1"/>
    <row r="165" s="22" customFormat="1"/>
    <row r="166" s="22" customFormat="1"/>
    <row r="167" s="22" customFormat="1"/>
    <row r="168" s="22" customFormat="1"/>
    <row r="169" s="22" customFormat="1"/>
    <row r="170" s="22" customFormat="1"/>
    <row r="171" s="22" customFormat="1"/>
    <row r="172" s="22" customFormat="1"/>
    <row r="173" s="22" customFormat="1"/>
    <row r="174" s="22" customFormat="1"/>
    <row r="175" s="22" customFormat="1"/>
    <row r="176" s="22" customFormat="1"/>
    <row r="177" s="22" customFormat="1"/>
    <row r="178" s="22" customFormat="1"/>
    <row r="179" s="22" customFormat="1"/>
    <row r="180" s="22" customFormat="1"/>
    <row r="181" s="22" customFormat="1"/>
    <row r="182" s="22" customFormat="1"/>
    <row r="183" s="22" customFormat="1"/>
    <row r="184" s="22" customFormat="1"/>
    <row r="185" s="22" customFormat="1"/>
    <row r="186" s="22" customFormat="1"/>
    <row r="187" s="22" customFormat="1"/>
    <row r="188" s="22" customFormat="1"/>
    <row r="189" s="22" customFormat="1"/>
    <row r="190" s="22" customFormat="1"/>
    <row r="191" s="22" customFormat="1"/>
    <row r="192" s="22" customFormat="1"/>
    <row r="193" s="22" customFormat="1"/>
    <row r="194" s="22" customFormat="1"/>
    <row r="195" s="22" customFormat="1"/>
    <row r="196" s="22" customFormat="1"/>
    <row r="197" s="22" customFormat="1"/>
    <row r="198" s="22" customFormat="1"/>
    <row r="199" s="22" customFormat="1"/>
    <row r="200" s="22" customFormat="1"/>
    <row r="201" s="22" customFormat="1"/>
    <row r="202" s="22" customFormat="1"/>
    <row r="203" s="22" customFormat="1"/>
    <row r="204" s="22" customFormat="1"/>
    <row r="205" s="22" customFormat="1"/>
    <row r="206" s="22" customFormat="1"/>
    <row r="207" s="22" customFormat="1"/>
    <row r="208" s="22" customFormat="1"/>
    <row r="209" s="22" customFormat="1"/>
    <row r="210" s="22" customFormat="1"/>
    <row r="211" s="22" customFormat="1"/>
    <row r="212" s="22" customFormat="1"/>
    <row r="213" s="22" customFormat="1"/>
    <row r="214" s="22" customFormat="1"/>
    <row r="215" s="22" customFormat="1"/>
    <row r="216" s="22" customFormat="1"/>
    <row r="217" s="22" customFormat="1"/>
    <row r="218" s="22" customFormat="1"/>
    <row r="219" s="22" customFormat="1"/>
    <row r="220" s="22" customFormat="1"/>
    <row r="221" s="22" customFormat="1"/>
    <row r="222" s="22" customFormat="1"/>
    <row r="223" s="22" customFormat="1"/>
    <row r="224" s="22" customFormat="1"/>
    <row r="225" s="22" customFormat="1"/>
    <row r="226" s="22" customFormat="1"/>
    <row r="227" s="22" customFormat="1"/>
    <row r="228" s="22" customFormat="1"/>
    <row r="229" s="22" customFormat="1"/>
    <row r="230" s="22" customFormat="1"/>
    <row r="231" s="22" customFormat="1"/>
    <row r="232" s="22" customFormat="1"/>
    <row r="233" s="22" customFormat="1"/>
    <row r="234" s="22" customFormat="1"/>
    <row r="235" s="22" customFormat="1"/>
    <row r="236" s="22" customFormat="1"/>
    <row r="237" s="22" customFormat="1"/>
    <row r="238" s="22" customFormat="1"/>
    <row r="239" s="22" customFormat="1"/>
    <row r="240" s="22" customFormat="1"/>
    <row r="241" s="22" customFormat="1"/>
    <row r="242" s="22" customFormat="1"/>
    <row r="243" s="22" customFormat="1"/>
    <row r="244" s="22" customFormat="1"/>
    <row r="245" s="22" customFormat="1"/>
    <row r="246" s="22" customFormat="1"/>
    <row r="247" s="22" customFormat="1"/>
    <row r="248" s="22" customFormat="1"/>
    <row r="249" s="22" customFormat="1"/>
    <row r="250" s="22" customFormat="1"/>
    <row r="251" s="22" customFormat="1"/>
    <row r="252" s="22" customFormat="1"/>
    <row r="253" s="22" customFormat="1"/>
    <row r="254" s="22" customFormat="1"/>
    <row r="255" s="22" customFormat="1"/>
    <row r="256" s="22" customFormat="1"/>
    <row r="257" s="22" customFormat="1"/>
    <row r="258" s="22" customFormat="1"/>
    <row r="259" s="22" customFormat="1"/>
    <row r="260" s="22" customFormat="1"/>
    <row r="261" s="22" customFormat="1"/>
    <row r="262" s="22" customFormat="1"/>
    <row r="263" s="22" customFormat="1"/>
    <row r="264" s="22" customFormat="1"/>
    <row r="265" s="22" customFormat="1"/>
    <row r="266" s="22" customFormat="1"/>
    <row r="267" s="22" customFormat="1"/>
    <row r="268" s="22" customFormat="1"/>
    <row r="269" s="22" customFormat="1"/>
    <row r="270" s="22" customFormat="1"/>
    <row r="271" s="22" customFormat="1"/>
    <row r="272" s="22" customFormat="1"/>
    <row r="273" s="22" customFormat="1"/>
    <row r="274" s="22" customFormat="1"/>
    <row r="275" s="22" customFormat="1"/>
    <row r="276" s="22" customFormat="1"/>
    <row r="277" s="22" customFormat="1"/>
    <row r="278" s="22" customFormat="1"/>
    <row r="279" s="22" customFormat="1"/>
    <row r="280" s="22" customFormat="1"/>
    <row r="281" s="22" customFormat="1"/>
    <row r="282" s="22" customFormat="1"/>
    <row r="283" s="22" customFormat="1"/>
    <row r="284" s="22" customFormat="1"/>
    <row r="285" s="22" customFormat="1"/>
    <row r="286" s="22" customFormat="1"/>
    <row r="287" s="22" customFormat="1"/>
    <row r="288" s="22" customFormat="1"/>
    <row r="289" s="22" customFormat="1"/>
    <row r="290" s="22" customFormat="1"/>
    <row r="291" s="22" customFormat="1"/>
    <row r="292" s="22" customFormat="1"/>
    <row r="293" s="22" customFormat="1"/>
    <row r="294" s="22" customFormat="1"/>
    <row r="295" s="22" customFormat="1"/>
    <row r="296" s="22" customFormat="1"/>
    <row r="297" s="22" customFormat="1"/>
    <row r="298" s="22" customFormat="1"/>
    <row r="299" s="22" customFormat="1"/>
    <row r="300" s="22" customFormat="1"/>
    <row r="301" s="22" customFormat="1"/>
    <row r="302" s="22" customFormat="1"/>
    <row r="303" s="22" customFormat="1"/>
    <row r="304" s="22" customFormat="1"/>
    <row r="305" s="22" customFormat="1"/>
    <row r="306" s="22" customFormat="1"/>
    <row r="307" s="22" customFormat="1"/>
    <row r="308" s="22" customFormat="1"/>
    <row r="309" s="22" customFormat="1"/>
    <row r="310" s="22" customFormat="1"/>
    <row r="311" s="22" customFormat="1"/>
    <row r="312" s="22" customFormat="1"/>
    <row r="313" s="22" customFormat="1"/>
    <row r="314" s="22" customFormat="1"/>
    <row r="315" s="22" customFormat="1"/>
    <row r="316" s="22" customFormat="1"/>
    <row r="317" s="22" customFormat="1"/>
    <row r="318" s="22" customFormat="1"/>
    <row r="319" s="22" customFormat="1"/>
    <row r="320" s="22" customFormat="1"/>
    <row r="321" s="22" customFormat="1"/>
    <row r="322" s="22" customFormat="1"/>
    <row r="323" s="22" customFormat="1"/>
    <row r="324" s="22" customFormat="1"/>
    <row r="325" s="22" customFormat="1"/>
    <row r="326" s="22" customFormat="1"/>
    <row r="327" s="22" customFormat="1"/>
    <row r="328" s="22" customFormat="1"/>
    <row r="329" s="22" customFormat="1"/>
    <row r="330" s="22" customFormat="1"/>
    <row r="331" s="22" customFormat="1"/>
    <row r="332" s="22" customFormat="1"/>
    <row r="333" s="22" customFormat="1"/>
    <row r="334" s="22" customFormat="1"/>
    <row r="335" s="22" customFormat="1"/>
    <row r="336" s="22" customFormat="1"/>
    <row r="337" s="22" customFormat="1"/>
    <row r="338" s="22" customFormat="1"/>
    <row r="339" s="22" customFormat="1"/>
    <row r="340" s="22" customFormat="1"/>
    <row r="341" s="22" customFormat="1"/>
    <row r="342" s="22" customFormat="1"/>
    <row r="343" s="22" customFormat="1"/>
    <row r="344" s="22" customFormat="1"/>
    <row r="345" s="22" customFormat="1"/>
    <row r="346" s="22" customFormat="1"/>
    <row r="347" s="22" customFormat="1"/>
    <row r="348" s="22" customFormat="1"/>
  </sheetData>
  <mergeCells count="111">
    <mergeCell ref="B3:D3"/>
    <mergeCell ref="E3:G3"/>
    <mergeCell ref="Z3:AB3"/>
    <mergeCell ref="AC3:AE3"/>
    <mergeCell ref="AF3:AH3"/>
    <mergeCell ref="H3:J3"/>
    <mergeCell ref="K3:M3"/>
    <mergeCell ref="N3:P3"/>
    <mergeCell ref="Q3:S3"/>
    <mergeCell ref="T3:V3"/>
    <mergeCell ref="W3:Y3"/>
    <mergeCell ref="CB1:CD1"/>
    <mergeCell ref="B1:D1"/>
    <mergeCell ref="E1:G1"/>
    <mergeCell ref="H1:J1"/>
    <mergeCell ref="K1:M1"/>
    <mergeCell ref="B2:D2"/>
    <mergeCell ref="E2:G2"/>
    <mergeCell ref="H2:J2"/>
    <mergeCell ref="K2:M2"/>
    <mergeCell ref="N2:P2"/>
    <mergeCell ref="BG2:BI2"/>
    <mergeCell ref="W1:Y1"/>
    <mergeCell ref="Z1:AB1"/>
    <mergeCell ref="AC1:AE1"/>
    <mergeCell ref="AF1:AH1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BY1:CA1"/>
    <mergeCell ref="Q2:S2"/>
    <mergeCell ref="N1:P1"/>
    <mergeCell ref="Q1:S1"/>
    <mergeCell ref="T1:V1"/>
    <mergeCell ref="T2:V2"/>
    <mergeCell ref="BP1:BR1"/>
    <mergeCell ref="BP2:BR2"/>
    <mergeCell ref="BP3:BR3"/>
    <mergeCell ref="BG3:BI3"/>
    <mergeCell ref="BJ3:BL3"/>
    <mergeCell ref="BM3:BO3"/>
    <mergeCell ref="AI3:AK3"/>
    <mergeCell ref="AL3:AN3"/>
    <mergeCell ref="AO3:AQ3"/>
    <mergeCell ref="AR3:AT3"/>
    <mergeCell ref="BM1:BO1"/>
    <mergeCell ref="BJ2:BL2"/>
    <mergeCell ref="BM2:BO2"/>
    <mergeCell ref="AX2:AZ2"/>
    <mergeCell ref="BA2:BC2"/>
    <mergeCell ref="BD2:BF2"/>
    <mergeCell ref="BV3:BX3"/>
    <mergeCell ref="BS1:BU1"/>
    <mergeCell ref="BV1:BX1"/>
    <mergeCell ref="AU1:AW1"/>
    <mergeCell ref="AX1:AZ1"/>
    <mergeCell ref="BA1:BC1"/>
    <mergeCell ref="BD1:BF1"/>
    <mergeCell ref="BG1:BI1"/>
    <mergeCell ref="BJ1:BL1"/>
    <mergeCell ref="AU3:AW3"/>
    <mergeCell ref="AX3:AZ3"/>
    <mergeCell ref="BA3:BC3"/>
    <mergeCell ref="BD3:BF3"/>
    <mergeCell ref="DF3:DH3"/>
    <mergeCell ref="BS2:BU2"/>
    <mergeCell ref="BV2:BX2"/>
    <mergeCell ref="BY2:CA2"/>
    <mergeCell ref="CB2:CD2"/>
    <mergeCell ref="CE2:CG2"/>
    <mergeCell ref="CH2:CJ2"/>
    <mergeCell ref="CK2:CM2"/>
    <mergeCell ref="CN2:CP2"/>
    <mergeCell ref="CQ2:CS2"/>
    <mergeCell ref="CZ2:DB2"/>
    <mergeCell ref="DC2:DE2"/>
    <mergeCell ref="CE3:CG3"/>
    <mergeCell ref="CH3:CJ3"/>
    <mergeCell ref="CK3:CM3"/>
    <mergeCell ref="CQ3:CS3"/>
    <mergeCell ref="CB3:CD3"/>
    <mergeCell ref="DF1:DH1"/>
    <mergeCell ref="DF2:DH2"/>
    <mergeCell ref="BY3:CA3"/>
    <mergeCell ref="AI1:AK1"/>
    <mergeCell ref="AL1:AN1"/>
    <mergeCell ref="CN1:CP1"/>
    <mergeCell ref="CQ1:CS1"/>
    <mergeCell ref="AO1:AQ1"/>
    <mergeCell ref="AR1:AT1"/>
    <mergeCell ref="DC3:DE3"/>
    <mergeCell ref="CZ1:DB1"/>
    <mergeCell ref="DC1:DE1"/>
    <mergeCell ref="CW1:CY1"/>
    <mergeCell ref="CT2:CV2"/>
    <mergeCell ref="CT1:CV1"/>
    <mergeCell ref="CW2:CY2"/>
    <mergeCell ref="CE1:CG1"/>
    <mergeCell ref="CH1:CJ1"/>
    <mergeCell ref="CK1:CM1"/>
    <mergeCell ref="CT3:CV3"/>
    <mergeCell ref="CW3:CY3"/>
    <mergeCell ref="CZ3:DB3"/>
    <mergeCell ref="CN3:CP3"/>
    <mergeCell ref="BS3:BU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A848-DDAF-4F6A-8445-D8E58599F91D}">
  <dimension ref="A1:AM197"/>
  <sheetViews>
    <sheetView rightToLeft="1" tabSelected="1" topLeftCell="AR1" zoomScale="106" zoomScaleNormal="175" workbookViewId="0">
      <selection activeCell="J1" sqref="J1:J2"/>
    </sheetView>
  </sheetViews>
  <sheetFormatPr defaultColWidth="12" defaultRowHeight="15" thickTop="1" thickBottom="1"/>
  <cols>
    <col min="1" max="2" width="8.15234375" style="14" customWidth="1"/>
    <col min="3" max="3" width="6.69140625" style="14" customWidth="1"/>
    <col min="4" max="4" width="9.23046875" style="14" customWidth="1"/>
    <col min="5" max="5" width="12.23046875" style="14" customWidth="1"/>
    <col min="6" max="8" width="12" style="14" customWidth="1"/>
    <col min="9" max="9" width="12" style="34"/>
    <col min="10" max="12" width="12" style="14" customWidth="1"/>
    <col min="13" max="13" width="12" style="16" customWidth="1"/>
    <col min="14" max="15" width="12" style="14" customWidth="1"/>
    <col min="16" max="18" width="20.23046875" style="14" customWidth="1"/>
    <col min="19" max="19" width="14.69140625" style="14" customWidth="1"/>
    <col min="20" max="20" width="12" style="14" customWidth="1"/>
    <col min="21" max="21" width="20.23046875" style="16" customWidth="1"/>
    <col min="22" max="22" width="18.15234375" style="14" customWidth="1"/>
    <col min="23" max="23" width="20.23046875" style="14" customWidth="1"/>
    <col min="24" max="24" width="19.4609375" style="17" customWidth="1"/>
    <col min="25" max="26" width="18.3828125" style="14" customWidth="1"/>
    <col min="27" max="27" width="26.15234375" style="14" customWidth="1"/>
    <col min="28" max="28" width="25" style="14" customWidth="1"/>
    <col min="29" max="30" width="12" style="14"/>
    <col min="31" max="39" width="12" style="15"/>
    <col min="40" max="16384" width="12" style="14"/>
  </cols>
  <sheetData>
    <row r="1" spans="1:39" s="1" customFormat="1" ht="72" customHeight="1" thickBot="1">
      <c r="A1" s="73" t="s">
        <v>6</v>
      </c>
      <c r="B1" s="73" t="s">
        <v>7</v>
      </c>
      <c r="C1" s="73" t="s">
        <v>98</v>
      </c>
      <c r="D1" s="73" t="s">
        <v>8</v>
      </c>
      <c r="E1" s="73" t="s">
        <v>99</v>
      </c>
      <c r="F1" s="73" t="s">
        <v>9</v>
      </c>
      <c r="G1" s="73" t="s">
        <v>10</v>
      </c>
      <c r="H1" s="73" t="s">
        <v>11</v>
      </c>
      <c r="I1" s="85" t="s">
        <v>12</v>
      </c>
      <c r="J1" s="73" t="s">
        <v>111</v>
      </c>
      <c r="K1" s="73" t="s">
        <v>14</v>
      </c>
      <c r="L1" s="83" t="s">
        <v>24</v>
      </c>
      <c r="M1" s="73" t="s">
        <v>15</v>
      </c>
      <c r="N1" s="73" t="s">
        <v>16</v>
      </c>
      <c r="O1" s="73" t="s">
        <v>17</v>
      </c>
      <c r="P1" s="80" t="s">
        <v>18</v>
      </c>
      <c r="Q1" s="81"/>
      <c r="R1" s="82"/>
      <c r="S1" s="75" t="s">
        <v>19</v>
      </c>
      <c r="T1" s="76"/>
      <c r="U1" s="75" t="s">
        <v>20</v>
      </c>
      <c r="V1" s="77"/>
      <c r="W1" s="78" t="s">
        <v>21</v>
      </c>
      <c r="X1" s="73" t="s">
        <v>105</v>
      </c>
      <c r="Y1" s="73" t="s">
        <v>103</v>
      </c>
      <c r="Z1" s="78" t="s">
        <v>104</v>
      </c>
      <c r="AA1" s="73" t="s">
        <v>22</v>
      </c>
      <c r="AB1" s="73" t="s">
        <v>23</v>
      </c>
      <c r="AE1" s="2"/>
      <c r="AF1" s="2"/>
      <c r="AG1" s="2"/>
      <c r="AH1" s="2"/>
      <c r="AI1" s="2"/>
      <c r="AJ1" s="2"/>
      <c r="AK1" s="2"/>
      <c r="AL1" s="2"/>
      <c r="AM1" s="2"/>
    </row>
    <row r="2" spans="1:39" s="1" customFormat="1" ht="48" customHeight="1" thickBot="1">
      <c r="A2" s="74"/>
      <c r="B2" s="74"/>
      <c r="C2" s="74"/>
      <c r="D2" s="74"/>
      <c r="E2" s="74"/>
      <c r="F2" s="74"/>
      <c r="G2" s="74"/>
      <c r="H2" s="74"/>
      <c r="I2" s="86" t="s">
        <v>12</v>
      </c>
      <c r="J2" s="74" t="s">
        <v>13</v>
      </c>
      <c r="K2" s="74" t="s">
        <v>14</v>
      </c>
      <c r="L2" s="84" t="s">
        <v>24</v>
      </c>
      <c r="M2" s="74"/>
      <c r="N2" s="74"/>
      <c r="O2" s="74"/>
      <c r="P2" s="3" t="s">
        <v>100</v>
      </c>
      <c r="Q2" s="3" t="s">
        <v>101</v>
      </c>
      <c r="R2" s="3" t="s">
        <v>102</v>
      </c>
      <c r="S2" s="4" t="s">
        <v>25</v>
      </c>
      <c r="T2" s="4" t="s">
        <v>26</v>
      </c>
      <c r="U2" s="3" t="s">
        <v>25</v>
      </c>
      <c r="V2" s="3" t="s">
        <v>26</v>
      </c>
      <c r="W2" s="79"/>
      <c r="X2" s="74"/>
      <c r="Y2" s="74"/>
      <c r="Z2" s="79"/>
      <c r="AA2" s="74"/>
      <c r="AB2" s="74"/>
      <c r="AE2" s="2"/>
      <c r="AF2" s="2"/>
      <c r="AG2" s="2"/>
      <c r="AH2" s="2"/>
      <c r="AI2" s="2"/>
      <c r="AJ2" s="2"/>
      <c r="AK2" s="2"/>
      <c r="AL2" s="2"/>
      <c r="AM2" s="2"/>
    </row>
    <row r="3" spans="1:39" s="1" customFormat="1" ht="42" customHeight="1" thickBot="1">
      <c r="A3" s="5">
        <v>1369</v>
      </c>
      <c r="B3" s="6">
        <v>12</v>
      </c>
      <c r="C3" s="7">
        <v>365</v>
      </c>
      <c r="D3" s="7">
        <v>52</v>
      </c>
      <c r="E3" s="7">
        <v>23</v>
      </c>
      <c r="F3" s="7">
        <v>75</v>
      </c>
      <c r="G3" s="7">
        <v>2126</v>
      </c>
      <c r="H3" s="7">
        <v>1000</v>
      </c>
      <c r="I3" s="7">
        <v>1</v>
      </c>
      <c r="J3" s="7">
        <v>0</v>
      </c>
      <c r="K3" s="7">
        <v>0</v>
      </c>
      <c r="L3" s="9">
        <v>0</v>
      </c>
      <c r="M3" s="10">
        <v>191</v>
      </c>
      <c r="N3" s="10">
        <v>48</v>
      </c>
      <c r="O3" s="10">
        <v>400</v>
      </c>
      <c r="P3" s="9">
        <v>3000</v>
      </c>
      <c r="Q3" s="9">
        <v>4500</v>
      </c>
      <c r="R3" s="9">
        <v>6750</v>
      </c>
      <c r="S3" s="9">
        <v>3000</v>
      </c>
      <c r="T3" s="9">
        <v>7000</v>
      </c>
      <c r="U3" s="7">
        <v>2000</v>
      </c>
      <c r="V3" s="7">
        <v>4000</v>
      </c>
      <c r="W3" s="7"/>
      <c r="X3" s="7">
        <v>3000</v>
      </c>
      <c r="Y3" s="7">
        <v>5000</v>
      </c>
      <c r="Z3" s="7">
        <v>7500</v>
      </c>
      <c r="AA3" s="11" t="s">
        <v>27</v>
      </c>
      <c r="AB3" s="11" t="s">
        <v>28</v>
      </c>
      <c r="AE3" s="2"/>
      <c r="AF3" s="2"/>
      <c r="AG3" s="2"/>
      <c r="AH3" s="2"/>
      <c r="AI3" s="2"/>
      <c r="AJ3" s="2"/>
      <c r="AK3" s="2"/>
      <c r="AL3" s="2"/>
      <c r="AM3" s="2"/>
    </row>
    <row r="4" spans="1:39" s="1" customFormat="1" ht="38.25" customHeight="1" thickTop="1" thickBot="1">
      <c r="A4" s="5">
        <v>1370</v>
      </c>
      <c r="B4" s="6">
        <v>12</v>
      </c>
      <c r="C4" s="7">
        <v>365</v>
      </c>
      <c r="D4" s="7">
        <v>53</v>
      </c>
      <c r="E4" s="7">
        <v>24</v>
      </c>
      <c r="F4" s="7">
        <v>77</v>
      </c>
      <c r="G4" s="7">
        <v>2111</v>
      </c>
      <c r="H4" s="7">
        <v>1667</v>
      </c>
      <c r="I4" s="7">
        <v>1</v>
      </c>
      <c r="J4" s="7">
        <v>0</v>
      </c>
      <c r="K4" s="7">
        <v>60</v>
      </c>
      <c r="L4" s="9">
        <v>60</v>
      </c>
      <c r="M4" s="10">
        <v>318</v>
      </c>
      <c r="N4" s="10">
        <v>80</v>
      </c>
      <c r="O4" s="10">
        <v>667</v>
      </c>
      <c r="P4" s="9">
        <v>5001</v>
      </c>
      <c r="Q4" s="9">
        <v>7502</v>
      </c>
      <c r="R4" s="9">
        <v>11252</v>
      </c>
      <c r="S4" s="9">
        <v>3000</v>
      </c>
      <c r="T4" s="9">
        <v>7000</v>
      </c>
      <c r="U4" s="7">
        <v>2000</v>
      </c>
      <c r="V4" s="7">
        <v>4000</v>
      </c>
      <c r="W4" s="7"/>
      <c r="X4" s="7">
        <v>5001</v>
      </c>
      <c r="Y4" s="7">
        <v>8335</v>
      </c>
      <c r="Z4" s="7">
        <v>12503</v>
      </c>
      <c r="AA4" s="12" t="s">
        <v>29</v>
      </c>
      <c r="AB4" s="13" t="s">
        <v>30</v>
      </c>
      <c r="AE4" s="2"/>
      <c r="AF4" s="2"/>
      <c r="AG4" s="2"/>
      <c r="AH4" s="2"/>
      <c r="AI4" s="2"/>
      <c r="AJ4" s="2"/>
      <c r="AK4" s="2"/>
      <c r="AL4" s="2"/>
      <c r="AM4" s="2"/>
    </row>
    <row r="5" spans="1:39" s="1" customFormat="1" ht="38.25" customHeight="1" thickTop="1" thickBot="1">
      <c r="A5" s="5">
        <v>1371</v>
      </c>
      <c r="B5" s="6">
        <v>12</v>
      </c>
      <c r="C5" s="7">
        <v>366</v>
      </c>
      <c r="D5" s="7">
        <v>52</v>
      </c>
      <c r="E5" s="7">
        <v>23</v>
      </c>
      <c r="F5" s="7">
        <v>75</v>
      </c>
      <c r="G5" s="7">
        <v>2133</v>
      </c>
      <c r="H5" s="7">
        <v>2267</v>
      </c>
      <c r="I5" s="7">
        <v>1</v>
      </c>
      <c r="J5" s="7">
        <v>60</v>
      </c>
      <c r="K5" s="7">
        <v>60</v>
      </c>
      <c r="L5" s="9">
        <v>120</v>
      </c>
      <c r="M5" s="10">
        <v>433</v>
      </c>
      <c r="N5" s="10">
        <v>108</v>
      </c>
      <c r="O5" s="10">
        <v>907</v>
      </c>
      <c r="P5" s="9">
        <v>6801</v>
      </c>
      <c r="Q5" s="9">
        <v>10202</v>
      </c>
      <c r="R5" s="9">
        <v>15302</v>
      </c>
      <c r="S5" s="9">
        <v>3000</v>
      </c>
      <c r="T5" s="9">
        <v>7000</v>
      </c>
      <c r="U5" s="7">
        <v>2000</v>
      </c>
      <c r="V5" s="7">
        <v>4000</v>
      </c>
      <c r="W5" s="7"/>
      <c r="X5" s="7">
        <v>6801</v>
      </c>
      <c r="Y5" s="7">
        <v>11335</v>
      </c>
      <c r="Z5" s="7">
        <v>17003</v>
      </c>
      <c r="AA5" s="12" t="s">
        <v>31</v>
      </c>
      <c r="AB5" s="13" t="s">
        <v>32</v>
      </c>
      <c r="AE5" s="2"/>
      <c r="AF5" s="2"/>
      <c r="AG5" s="2"/>
      <c r="AH5" s="2"/>
      <c r="AI5" s="2"/>
      <c r="AJ5" s="2"/>
      <c r="AK5" s="2"/>
      <c r="AL5" s="2"/>
      <c r="AM5" s="2"/>
    </row>
    <row r="6" spans="1:39" s="1" customFormat="1" ht="38.25" customHeight="1" thickTop="1" thickBot="1">
      <c r="A6" s="5">
        <v>1372</v>
      </c>
      <c r="B6" s="6">
        <v>12</v>
      </c>
      <c r="C6" s="7">
        <v>365</v>
      </c>
      <c r="D6" s="7">
        <v>52</v>
      </c>
      <c r="E6" s="7">
        <v>22</v>
      </c>
      <c r="F6" s="7">
        <v>74</v>
      </c>
      <c r="G6" s="7">
        <v>2133</v>
      </c>
      <c r="H6" s="7">
        <v>2994</v>
      </c>
      <c r="I6" s="33">
        <v>1.1000000000000001</v>
      </c>
      <c r="J6" s="7">
        <v>132</v>
      </c>
      <c r="K6" s="7">
        <v>60</v>
      </c>
      <c r="L6" s="9">
        <v>192</v>
      </c>
      <c r="M6" s="10">
        <v>572</v>
      </c>
      <c r="N6" s="10">
        <v>143</v>
      </c>
      <c r="O6" s="10">
        <v>1198</v>
      </c>
      <c r="P6" s="9">
        <v>8982</v>
      </c>
      <c r="Q6" s="9">
        <v>13473</v>
      </c>
      <c r="R6" s="9">
        <v>20210</v>
      </c>
      <c r="S6" s="9">
        <v>3000</v>
      </c>
      <c r="T6" s="9">
        <v>7000</v>
      </c>
      <c r="U6" s="7">
        <v>2000</v>
      </c>
      <c r="V6" s="7">
        <v>4000</v>
      </c>
      <c r="W6" s="7"/>
      <c r="X6" s="7">
        <v>8982</v>
      </c>
      <c r="Y6" s="7">
        <v>14970</v>
      </c>
      <c r="Z6" s="7">
        <v>22455</v>
      </c>
      <c r="AA6" s="12" t="s">
        <v>33</v>
      </c>
      <c r="AB6" s="13" t="s">
        <v>34</v>
      </c>
      <c r="AE6" s="2"/>
      <c r="AF6" s="2"/>
      <c r="AG6" s="2"/>
      <c r="AH6" s="2"/>
      <c r="AI6" s="2"/>
      <c r="AJ6" s="2"/>
      <c r="AK6" s="2"/>
      <c r="AL6" s="2"/>
      <c r="AM6" s="2"/>
    </row>
    <row r="7" spans="1:39" s="1" customFormat="1" ht="38.25" customHeight="1" thickTop="1" thickBot="1">
      <c r="A7" s="5">
        <v>1373</v>
      </c>
      <c r="B7" s="6">
        <v>12</v>
      </c>
      <c r="C7" s="7">
        <v>365</v>
      </c>
      <c r="D7" s="7">
        <v>52</v>
      </c>
      <c r="E7" s="7">
        <v>22</v>
      </c>
      <c r="F7" s="7">
        <v>74</v>
      </c>
      <c r="G7" s="7">
        <v>2133</v>
      </c>
      <c r="H7" s="7">
        <v>3894</v>
      </c>
      <c r="I7" s="33">
        <v>1.1000000000000001</v>
      </c>
      <c r="J7" s="7">
        <v>211</v>
      </c>
      <c r="K7" s="7">
        <v>80</v>
      </c>
      <c r="L7" s="9">
        <v>291</v>
      </c>
      <c r="M7" s="10">
        <v>744</v>
      </c>
      <c r="N7" s="10">
        <v>186</v>
      </c>
      <c r="O7" s="10">
        <v>1558</v>
      </c>
      <c r="P7" s="9">
        <v>11682</v>
      </c>
      <c r="Q7" s="9">
        <v>17523</v>
      </c>
      <c r="R7" s="9">
        <v>26285</v>
      </c>
      <c r="S7" s="9">
        <v>3000</v>
      </c>
      <c r="T7" s="9">
        <v>7000</v>
      </c>
      <c r="U7" s="7">
        <v>2000</v>
      </c>
      <c r="V7" s="7">
        <v>4000</v>
      </c>
      <c r="W7" s="7"/>
      <c r="X7" s="7">
        <v>11682</v>
      </c>
      <c r="Y7" s="7">
        <v>19470</v>
      </c>
      <c r="Z7" s="7">
        <v>29205</v>
      </c>
      <c r="AA7" s="12" t="s">
        <v>35</v>
      </c>
      <c r="AB7" s="13" t="s">
        <v>36</v>
      </c>
      <c r="AE7" s="2"/>
      <c r="AF7" s="2"/>
      <c r="AG7" s="2"/>
      <c r="AH7" s="2"/>
      <c r="AI7" s="2"/>
      <c r="AJ7" s="2"/>
      <c r="AK7" s="2"/>
      <c r="AL7" s="2"/>
      <c r="AM7" s="2"/>
    </row>
    <row r="8" spans="1:39" s="1" customFormat="1" ht="38.25" customHeight="1" thickTop="1" thickBot="1">
      <c r="A8" s="5">
        <v>1374</v>
      </c>
      <c r="B8" s="6">
        <v>12</v>
      </c>
      <c r="C8" s="7">
        <v>365</v>
      </c>
      <c r="D8" s="7">
        <v>52</v>
      </c>
      <c r="E8" s="7">
        <v>24</v>
      </c>
      <c r="F8" s="7">
        <v>76</v>
      </c>
      <c r="G8" s="7">
        <v>2118</v>
      </c>
      <c r="H8" s="7">
        <v>5333</v>
      </c>
      <c r="I8" s="33">
        <v>1.1000000000000001</v>
      </c>
      <c r="J8" s="7">
        <v>320</v>
      </c>
      <c r="K8" s="7">
        <v>100</v>
      </c>
      <c r="L8" s="9">
        <v>420</v>
      </c>
      <c r="M8" s="10">
        <v>1019</v>
      </c>
      <c r="N8" s="10">
        <v>255</v>
      </c>
      <c r="O8" s="10">
        <v>2133</v>
      </c>
      <c r="P8" s="9">
        <v>15999</v>
      </c>
      <c r="Q8" s="9">
        <v>23999</v>
      </c>
      <c r="R8" s="9">
        <v>35998</v>
      </c>
      <c r="S8" s="9">
        <v>3000</v>
      </c>
      <c r="T8" s="9">
        <v>7000</v>
      </c>
      <c r="U8" s="7">
        <v>2000</v>
      </c>
      <c r="V8" s="7">
        <v>4000</v>
      </c>
      <c r="W8" s="7"/>
      <c r="X8" s="7">
        <v>15999</v>
      </c>
      <c r="Y8" s="7">
        <v>26665</v>
      </c>
      <c r="Z8" s="7">
        <v>39998</v>
      </c>
      <c r="AA8" s="12" t="s">
        <v>37</v>
      </c>
      <c r="AB8" s="13" t="s">
        <v>38</v>
      </c>
      <c r="AE8" s="2"/>
      <c r="AF8" s="2"/>
      <c r="AG8" s="2"/>
      <c r="AH8" s="2"/>
      <c r="AI8" s="2"/>
      <c r="AJ8" s="2"/>
      <c r="AK8" s="2"/>
      <c r="AL8" s="2"/>
      <c r="AM8" s="2"/>
    </row>
    <row r="9" spans="1:39" s="58" customFormat="1" ht="38.25" customHeight="1" thickTop="1" thickBot="1">
      <c r="A9" s="35">
        <v>1375</v>
      </c>
      <c r="B9" s="36">
        <v>12</v>
      </c>
      <c r="C9" s="37">
        <v>366</v>
      </c>
      <c r="D9" s="37">
        <v>52</v>
      </c>
      <c r="E9" s="37">
        <v>24</v>
      </c>
      <c r="F9" s="37">
        <v>76</v>
      </c>
      <c r="G9" s="37">
        <v>2125</v>
      </c>
      <c r="H9" s="37">
        <v>6907</v>
      </c>
      <c r="I9" s="46">
        <v>1.07</v>
      </c>
      <c r="J9" s="37">
        <v>516</v>
      </c>
      <c r="K9" s="37">
        <v>125</v>
      </c>
      <c r="L9" s="39">
        <v>641</v>
      </c>
      <c r="M9" s="40">
        <v>1319</v>
      </c>
      <c r="N9" s="40">
        <v>330</v>
      </c>
      <c r="O9" s="40">
        <v>2763</v>
      </c>
      <c r="P9" s="39">
        <v>20721</v>
      </c>
      <c r="Q9" s="39">
        <v>31082</v>
      </c>
      <c r="R9" s="39">
        <v>46622</v>
      </c>
      <c r="S9" s="39">
        <v>3000</v>
      </c>
      <c r="T9" s="39">
        <v>7000</v>
      </c>
      <c r="U9" s="37">
        <v>8000</v>
      </c>
      <c r="V9" s="37">
        <v>12000</v>
      </c>
      <c r="W9" s="37"/>
      <c r="X9" s="37">
        <v>20721</v>
      </c>
      <c r="Y9" s="37">
        <v>34535</v>
      </c>
      <c r="Z9" s="37">
        <v>51803</v>
      </c>
      <c r="AA9" s="41" t="s">
        <v>109</v>
      </c>
      <c r="AB9" s="42" t="s">
        <v>39</v>
      </c>
      <c r="AE9" s="59"/>
      <c r="AF9" s="59"/>
      <c r="AG9" s="59"/>
      <c r="AH9" s="59"/>
      <c r="AI9" s="59"/>
      <c r="AJ9" s="59"/>
      <c r="AK9" s="59"/>
      <c r="AL9" s="59"/>
      <c r="AM9" s="59"/>
    </row>
    <row r="10" spans="1:39" ht="32.25" customHeight="1" thickTop="1" thickBot="1">
      <c r="A10" s="5">
        <v>1376</v>
      </c>
      <c r="B10" s="6">
        <v>12</v>
      </c>
      <c r="C10" s="7">
        <v>365</v>
      </c>
      <c r="D10" s="7">
        <v>53</v>
      </c>
      <c r="E10" s="7">
        <v>24</v>
      </c>
      <c r="F10" s="7">
        <v>77</v>
      </c>
      <c r="G10" s="7">
        <v>2111</v>
      </c>
      <c r="H10" s="7">
        <v>8482</v>
      </c>
      <c r="I10" s="8">
        <v>1.228</v>
      </c>
      <c r="J10" s="7">
        <v>686</v>
      </c>
      <c r="K10" s="7">
        <v>125</v>
      </c>
      <c r="L10" s="9">
        <v>811</v>
      </c>
      <c r="M10" s="10">
        <v>1620</v>
      </c>
      <c r="N10" s="10">
        <v>405</v>
      </c>
      <c r="O10" s="10">
        <v>3393</v>
      </c>
      <c r="P10" s="9">
        <v>25446</v>
      </c>
      <c r="Q10" s="9">
        <v>38169</v>
      </c>
      <c r="R10" s="9">
        <v>57254</v>
      </c>
      <c r="S10" s="9">
        <v>3000</v>
      </c>
      <c r="T10" s="9">
        <v>7000</v>
      </c>
      <c r="U10" s="7">
        <v>8000</v>
      </c>
      <c r="V10" s="7">
        <v>12000</v>
      </c>
      <c r="W10" s="7"/>
      <c r="X10" s="7">
        <v>25446</v>
      </c>
      <c r="Y10" s="7">
        <v>42410</v>
      </c>
      <c r="Z10" s="7">
        <v>63615</v>
      </c>
      <c r="AA10" s="12" t="s">
        <v>40</v>
      </c>
      <c r="AB10" s="13" t="s">
        <v>41</v>
      </c>
    </row>
    <row r="11" spans="1:39" s="43" customFormat="1" ht="32.25" customHeight="1" thickTop="1" thickBot="1">
      <c r="A11" s="35">
        <v>1377</v>
      </c>
      <c r="B11" s="36">
        <v>12</v>
      </c>
      <c r="C11" s="37">
        <v>365</v>
      </c>
      <c r="D11" s="37">
        <v>52</v>
      </c>
      <c r="E11" s="37">
        <v>19</v>
      </c>
      <c r="F11" s="37">
        <v>71</v>
      </c>
      <c r="G11" s="37">
        <v>2155</v>
      </c>
      <c r="H11" s="37">
        <v>10051</v>
      </c>
      <c r="I11" s="38">
        <v>1.1850000000000001</v>
      </c>
      <c r="J11" s="37">
        <v>961</v>
      </c>
      <c r="K11" s="37">
        <v>150</v>
      </c>
      <c r="L11" s="39">
        <v>1111</v>
      </c>
      <c r="M11" s="40">
        <v>1920</v>
      </c>
      <c r="N11" s="40">
        <v>480</v>
      </c>
      <c r="O11" s="40">
        <v>4020</v>
      </c>
      <c r="P11" s="39">
        <v>30153</v>
      </c>
      <c r="Q11" s="39">
        <v>45230</v>
      </c>
      <c r="R11" s="39">
        <v>67844</v>
      </c>
      <c r="S11" s="39">
        <v>3000</v>
      </c>
      <c r="T11" s="39">
        <v>7000</v>
      </c>
      <c r="U11" s="37">
        <v>8000</v>
      </c>
      <c r="V11" s="37">
        <v>12000</v>
      </c>
      <c r="W11" s="37"/>
      <c r="X11" s="37">
        <v>30153</v>
      </c>
      <c r="Y11" s="37">
        <v>50255</v>
      </c>
      <c r="Z11" s="37">
        <v>75383</v>
      </c>
      <c r="AA11" s="41" t="s">
        <v>42</v>
      </c>
      <c r="AB11" s="42" t="s">
        <v>43</v>
      </c>
      <c r="AE11" s="44"/>
      <c r="AF11" s="44"/>
      <c r="AG11" s="44"/>
      <c r="AH11" s="44"/>
      <c r="AI11" s="44"/>
      <c r="AJ11" s="44"/>
      <c r="AK11" s="44"/>
      <c r="AL11" s="44"/>
      <c r="AM11" s="44"/>
    </row>
    <row r="12" spans="1:39" s="43" customFormat="1" ht="32.25" customHeight="1" thickTop="1" thickBot="1">
      <c r="A12" s="35">
        <v>1378</v>
      </c>
      <c r="B12" s="36">
        <v>12</v>
      </c>
      <c r="C12" s="37">
        <v>365</v>
      </c>
      <c r="D12" s="37">
        <v>52</v>
      </c>
      <c r="E12" s="37">
        <v>20</v>
      </c>
      <c r="F12" s="37">
        <v>72</v>
      </c>
      <c r="G12" s="37">
        <v>2148</v>
      </c>
      <c r="H12" s="37">
        <v>12061</v>
      </c>
      <c r="I12" s="45">
        <v>1.2</v>
      </c>
      <c r="J12" s="37">
        <v>1333</v>
      </c>
      <c r="K12" s="37">
        <v>210</v>
      </c>
      <c r="L12" s="39">
        <v>1543</v>
      </c>
      <c r="M12" s="40">
        <v>2304</v>
      </c>
      <c r="N12" s="40">
        <v>576</v>
      </c>
      <c r="O12" s="40">
        <v>4824</v>
      </c>
      <c r="P12" s="39">
        <v>36183</v>
      </c>
      <c r="Q12" s="39">
        <v>54275</v>
      </c>
      <c r="R12" s="39">
        <v>81412</v>
      </c>
      <c r="S12" s="39">
        <v>6000</v>
      </c>
      <c r="T12" s="39">
        <v>10000</v>
      </c>
      <c r="U12" s="37">
        <v>8000</v>
      </c>
      <c r="V12" s="37">
        <v>12000</v>
      </c>
      <c r="W12" s="37"/>
      <c r="X12" s="37">
        <v>36183</v>
      </c>
      <c r="Y12" s="37">
        <v>60305</v>
      </c>
      <c r="Z12" s="37">
        <v>90458</v>
      </c>
      <c r="AA12" s="41" t="s">
        <v>44</v>
      </c>
      <c r="AB12" s="42" t="s">
        <v>45</v>
      </c>
      <c r="AE12" s="44"/>
      <c r="AF12" s="44"/>
      <c r="AG12" s="44"/>
      <c r="AH12" s="44"/>
      <c r="AI12" s="44"/>
      <c r="AJ12" s="44"/>
      <c r="AK12" s="44"/>
      <c r="AL12" s="44"/>
      <c r="AM12" s="44"/>
    </row>
    <row r="13" spans="1:39" s="43" customFormat="1" ht="32.25" customHeight="1" thickTop="1" thickBot="1">
      <c r="A13" s="35">
        <v>1379</v>
      </c>
      <c r="B13" s="36">
        <v>12</v>
      </c>
      <c r="C13" s="37">
        <v>366</v>
      </c>
      <c r="D13" s="37">
        <v>52</v>
      </c>
      <c r="E13" s="37">
        <v>22</v>
      </c>
      <c r="F13" s="37">
        <v>74</v>
      </c>
      <c r="G13" s="37">
        <v>2140</v>
      </c>
      <c r="H13" s="37">
        <v>15267</v>
      </c>
      <c r="I13" s="45">
        <v>1.1000000000000001</v>
      </c>
      <c r="J13" s="37">
        <v>1698</v>
      </c>
      <c r="K13" s="37">
        <v>380</v>
      </c>
      <c r="L13" s="39">
        <v>2078</v>
      </c>
      <c r="M13" s="40">
        <v>2916</v>
      </c>
      <c r="N13" s="40">
        <v>729</v>
      </c>
      <c r="O13" s="40">
        <v>6107</v>
      </c>
      <c r="P13" s="39">
        <v>45801</v>
      </c>
      <c r="Q13" s="39">
        <v>68702</v>
      </c>
      <c r="R13" s="39">
        <v>103052</v>
      </c>
      <c r="S13" s="39">
        <v>6000</v>
      </c>
      <c r="T13" s="39">
        <v>10000</v>
      </c>
      <c r="U13" s="37">
        <v>8000</v>
      </c>
      <c r="V13" s="37">
        <v>12000</v>
      </c>
      <c r="W13" s="37"/>
      <c r="X13" s="37">
        <v>45801</v>
      </c>
      <c r="Y13" s="37">
        <v>76335</v>
      </c>
      <c r="Z13" s="37">
        <v>114503</v>
      </c>
      <c r="AA13" s="41" t="s">
        <v>46</v>
      </c>
      <c r="AB13" s="42" t="s">
        <v>47</v>
      </c>
      <c r="AE13" s="44"/>
      <c r="AF13" s="44"/>
      <c r="AG13" s="44"/>
      <c r="AH13" s="44"/>
      <c r="AI13" s="44"/>
      <c r="AJ13" s="44"/>
      <c r="AK13" s="44"/>
      <c r="AL13" s="44"/>
      <c r="AM13" s="44"/>
    </row>
    <row r="14" spans="1:39" s="43" customFormat="1" ht="32.25" customHeight="1" thickTop="1" thickBot="1">
      <c r="A14" s="35">
        <v>1380</v>
      </c>
      <c r="B14" s="36">
        <v>12</v>
      </c>
      <c r="C14" s="37">
        <v>365</v>
      </c>
      <c r="D14" s="37">
        <v>52</v>
      </c>
      <c r="E14" s="37">
        <v>22</v>
      </c>
      <c r="F14" s="37">
        <v>74</v>
      </c>
      <c r="G14" s="37">
        <v>2133</v>
      </c>
      <c r="H14" s="37">
        <v>18930</v>
      </c>
      <c r="I14" s="46">
        <v>1.05</v>
      </c>
      <c r="J14" s="37">
        <v>2181</v>
      </c>
      <c r="K14" s="37">
        <v>470</v>
      </c>
      <c r="L14" s="39">
        <v>2651</v>
      </c>
      <c r="M14" s="40">
        <v>3616</v>
      </c>
      <c r="N14" s="40">
        <v>904</v>
      </c>
      <c r="O14" s="40">
        <v>7572</v>
      </c>
      <c r="P14" s="39">
        <v>56790</v>
      </c>
      <c r="Q14" s="39">
        <v>85185</v>
      </c>
      <c r="R14" s="39">
        <v>127778</v>
      </c>
      <c r="S14" s="39">
        <v>6000</v>
      </c>
      <c r="T14" s="39">
        <v>10000</v>
      </c>
      <c r="U14" s="37">
        <v>8000</v>
      </c>
      <c r="V14" s="37">
        <v>12000</v>
      </c>
      <c r="W14" s="37"/>
      <c r="X14" s="37">
        <v>56790</v>
      </c>
      <c r="Y14" s="37">
        <v>94650</v>
      </c>
      <c r="Z14" s="37">
        <v>141975</v>
      </c>
      <c r="AA14" s="41" t="s">
        <v>48</v>
      </c>
      <c r="AB14" s="42" t="s">
        <v>49</v>
      </c>
      <c r="AE14" s="44"/>
      <c r="AF14" s="44"/>
      <c r="AG14" s="44"/>
      <c r="AH14" s="44"/>
      <c r="AI14" s="44"/>
      <c r="AJ14" s="44"/>
      <c r="AK14" s="44"/>
      <c r="AL14" s="44"/>
      <c r="AM14" s="44"/>
    </row>
    <row r="15" spans="1:39" s="43" customFormat="1" ht="32.25" customHeight="1" thickTop="1" thickBot="1">
      <c r="A15" s="35">
        <v>1381</v>
      </c>
      <c r="B15" s="36">
        <v>12</v>
      </c>
      <c r="C15" s="37">
        <v>365</v>
      </c>
      <c r="D15" s="37">
        <v>52</v>
      </c>
      <c r="E15" s="37">
        <v>22</v>
      </c>
      <c r="F15" s="37">
        <v>74</v>
      </c>
      <c r="G15" s="37">
        <v>2133</v>
      </c>
      <c r="H15" s="37">
        <v>23282</v>
      </c>
      <c r="I15" s="38">
        <v>1.0449999999999999</v>
      </c>
      <c r="J15" s="37">
        <v>2771</v>
      </c>
      <c r="K15" s="37">
        <v>580</v>
      </c>
      <c r="L15" s="39">
        <v>3351</v>
      </c>
      <c r="M15" s="40">
        <v>4447</v>
      </c>
      <c r="N15" s="40">
        <v>1112</v>
      </c>
      <c r="O15" s="40">
        <v>9313</v>
      </c>
      <c r="P15" s="39">
        <v>69846</v>
      </c>
      <c r="Q15" s="39">
        <v>104769</v>
      </c>
      <c r="R15" s="39">
        <v>157154</v>
      </c>
      <c r="S15" s="39">
        <v>6000</v>
      </c>
      <c r="T15" s="39">
        <v>10000</v>
      </c>
      <c r="U15" s="37">
        <v>8000</v>
      </c>
      <c r="V15" s="37">
        <v>12000</v>
      </c>
      <c r="W15" s="37"/>
      <c r="X15" s="37">
        <v>69846</v>
      </c>
      <c r="Y15" s="37">
        <v>116410</v>
      </c>
      <c r="Z15" s="37">
        <v>174615</v>
      </c>
      <c r="AA15" s="41" t="s">
        <v>50</v>
      </c>
      <c r="AB15" s="42" t="s">
        <v>51</v>
      </c>
      <c r="AE15" s="44"/>
      <c r="AF15" s="44"/>
      <c r="AG15" s="44"/>
      <c r="AH15" s="44"/>
      <c r="AI15" s="44"/>
      <c r="AJ15" s="44"/>
      <c r="AK15" s="44"/>
      <c r="AL15" s="44"/>
      <c r="AM15" s="44"/>
    </row>
    <row r="16" spans="1:39" s="43" customFormat="1" ht="32.25" customHeight="1" thickTop="1" thickBot="1">
      <c r="A16" s="35">
        <v>1382</v>
      </c>
      <c r="B16" s="36">
        <v>12</v>
      </c>
      <c r="C16" s="37">
        <v>365</v>
      </c>
      <c r="D16" s="37">
        <v>53</v>
      </c>
      <c r="E16" s="37">
        <v>22</v>
      </c>
      <c r="F16" s="37">
        <v>75</v>
      </c>
      <c r="G16" s="37">
        <v>2126</v>
      </c>
      <c r="H16" s="37">
        <v>28446</v>
      </c>
      <c r="I16" s="46">
        <v>1.05</v>
      </c>
      <c r="J16" s="37">
        <v>3518</v>
      </c>
      <c r="K16" s="37">
        <v>710</v>
      </c>
      <c r="L16" s="39">
        <v>4228</v>
      </c>
      <c r="M16" s="40">
        <v>5433</v>
      </c>
      <c r="N16" s="40">
        <v>1358</v>
      </c>
      <c r="O16" s="40">
        <v>11378</v>
      </c>
      <c r="P16" s="39">
        <v>85338</v>
      </c>
      <c r="Q16" s="39">
        <v>128007</v>
      </c>
      <c r="R16" s="39">
        <v>192011</v>
      </c>
      <c r="S16" s="39">
        <v>6000</v>
      </c>
      <c r="T16" s="39">
        <v>10000</v>
      </c>
      <c r="U16" s="37">
        <v>8000</v>
      </c>
      <c r="V16" s="37">
        <v>12000</v>
      </c>
      <c r="W16" s="37"/>
      <c r="X16" s="37">
        <v>85338</v>
      </c>
      <c r="Y16" s="37">
        <v>142230</v>
      </c>
      <c r="Z16" s="37">
        <v>213345</v>
      </c>
      <c r="AA16" s="41" t="s">
        <v>52</v>
      </c>
      <c r="AB16" s="42" t="s">
        <v>53</v>
      </c>
      <c r="AE16" s="44"/>
      <c r="AF16" s="44"/>
      <c r="AG16" s="44"/>
      <c r="AH16" s="44"/>
      <c r="AI16" s="44"/>
      <c r="AJ16" s="44"/>
      <c r="AK16" s="44"/>
      <c r="AL16" s="44"/>
      <c r="AM16" s="44"/>
    </row>
    <row r="17" spans="1:39" s="43" customFormat="1" ht="32.25" customHeight="1" thickTop="1" thickBot="1">
      <c r="A17" s="35">
        <v>1383</v>
      </c>
      <c r="B17" s="36">
        <v>12</v>
      </c>
      <c r="C17" s="37">
        <v>366</v>
      </c>
      <c r="D17" s="37">
        <v>52</v>
      </c>
      <c r="E17" s="37">
        <v>20</v>
      </c>
      <c r="F17" s="37">
        <v>72</v>
      </c>
      <c r="G17" s="37">
        <v>2155</v>
      </c>
      <c r="H17" s="37">
        <v>35534</v>
      </c>
      <c r="I17" s="37">
        <v>1</v>
      </c>
      <c r="J17" s="37">
        <v>4228</v>
      </c>
      <c r="K17" s="37">
        <v>900</v>
      </c>
      <c r="L17" s="39">
        <v>5128</v>
      </c>
      <c r="M17" s="40">
        <v>6787</v>
      </c>
      <c r="N17" s="40">
        <v>1697</v>
      </c>
      <c r="O17" s="40">
        <v>14214</v>
      </c>
      <c r="P17" s="39">
        <v>106602</v>
      </c>
      <c r="Q17" s="39">
        <v>159903</v>
      </c>
      <c r="R17" s="39">
        <v>239855</v>
      </c>
      <c r="S17" s="37">
        <v>20000</v>
      </c>
      <c r="T17" s="37">
        <v>20000</v>
      </c>
      <c r="U17" s="37">
        <v>60000</v>
      </c>
      <c r="V17" s="37">
        <v>60000</v>
      </c>
      <c r="W17" s="37"/>
      <c r="X17" s="37">
        <v>106602</v>
      </c>
      <c r="Y17" s="37">
        <v>177670</v>
      </c>
      <c r="Z17" s="37">
        <v>266505</v>
      </c>
      <c r="AA17" s="41" t="s">
        <v>54</v>
      </c>
      <c r="AB17" s="42" t="s">
        <v>55</v>
      </c>
      <c r="AE17" s="44"/>
      <c r="AF17" s="44"/>
      <c r="AG17" s="44"/>
      <c r="AH17" s="44"/>
      <c r="AI17" s="44"/>
      <c r="AJ17" s="44"/>
      <c r="AK17" s="44"/>
      <c r="AL17" s="44"/>
      <c r="AM17" s="44"/>
    </row>
    <row r="18" spans="1:39" s="43" customFormat="1" ht="32.25" customHeight="1" thickTop="1" thickBot="1">
      <c r="A18" s="35">
        <v>1384</v>
      </c>
      <c r="B18" s="36">
        <v>12</v>
      </c>
      <c r="C18" s="37">
        <v>365</v>
      </c>
      <c r="D18" s="37">
        <v>52</v>
      </c>
      <c r="E18" s="37">
        <v>21</v>
      </c>
      <c r="F18" s="37">
        <v>73</v>
      </c>
      <c r="G18" s="37">
        <v>2140</v>
      </c>
      <c r="H18" s="37">
        <v>40864</v>
      </c>
      <c r="I18" s="37">
        <v>1</v>
      </c>
      <c r="J18" s="37">
        <v>5128</v>
      </c>
      <c r="K18" s="37">
        <v>1020</v>
      </c>
      <c r="L18" s="39">
        <v>6148</v>
      </c>
      <c r="M18" s="40">
        <v>7805</v>
      </c>
      <c r="N18" s="40">
        <v>1951</v>
      </c>
      <c r="O18" s="40">
        <v>16346</v>
      </c>
      <c r="P18" s="39">
        <v>122592</v>
      </c>
      <c r="Q18" s="39">
        <v>183888</v>
      </c>
      <c r="R18" s="39">
        <v>275832</v>
      </c>
      <c r="S18" s="37">
        <v>40000</v>
      </c>
      <c r="T18" s="37">
        <v>40000</v>
      </c>
      <c r="U18" s="37">
        <v>100000</v>
      </c>
      <c r="V18" s="37">
        <v>100000</v>
      </c>
      <c r="W18" s="37"/>
      <c r="X18" s="37">
        <v>122592</v>
      </c>
      <c r="Y18" s="37">
        <v>204320</v>
      </c>
      <c r="Z18" s="37">
        <v>306480</v>
      </c>
      <c r="AA18" s="41" t="s">
        <v>56</v>
      </c>
      <c r="AB18" s="42" t="s">
        <v>57</v>
      </c>
      <c r="AE18" s="44"/>
      <c r="AF18" s="44"/>
      <c r="AG18" s="44"/>
      <c r="AH18" s="44"/>
      <c r="AI18" s="44"/>
      <c r="AJ18" s="44"/>
      <c r="AK18" s="44"/>
      <c r="AL18" s="44"/>
      <c r="AM18" s="44"/>
    </row>
    <row r="19" spans="1:39" s="43" customFormat="1" ht="32.25" customHeight="1" thickTop="1" thickBot="1">
      <c r="A19" s="35">
        <v>1385</v>
      </c>
      <c r="B19" s="36">
        <v>12</v>
      </c>
      <c r="C19" s="37">
        <v>365</v>
      </c>
      <c r="D19" s="37">
        <v>52</v>
      </c>
      <c r="E19" s="37">
        <v>25</v>
      </c>
      <c r="F19" s="37">
        <v>75</v>
      </c>
      <c r="G19" s="37">
        <v>2126</v>
      </c>
      <c r="H19" s="37">
        <v>50000</v>
      </c>
      <c r="I19" s="45">
        <v>1.1000000000000001</v>
      </c>
      <c r="J19" s="37">
        <v>6763</v>
      </c>
      <c r="K19" s="37">
        <v>1250</v>
      </c>
      <c r="L19" s="39">
        <v>8013</v>
      </c>
      <c r="M19" s="40">
        <v>9550</v>
      </c>
      <c r="N19" s="40">
        <v>2387</v>
      </c>
      <c r="O19" s="40">
        <v>20000</v>
      </c>
      <c r="P19" s="39">
        <v>150000</v>
      </c>
      <c r="Q19" s="39">
        <v>225000</v>
      </c>
      <c r="R19" s="39">
        <v>337500</v>
      </c>
      <c r="S19" s="37">
        <v>100000</v>
      </c>
      <c r="T19" s="37">
        <v>100000</v>
      </c>
      <c r="U19" s="37">
        <v>100000</v>
      </c>
      <c r="V19" s="37">
        <v>100000</v>
      </c>
      <c r="W19" s="37"/>
      <c r="X19" s="37">
        <v>150000</v>
      </c>
      <c r="Y19" s="37">
        <v>250000</v>
      </c>
      <c r="Z19" s="37">
        <v>375000</v>
      </c>
      <c r="AA19" s="41" t="s">
        <v>58</v>
      </c>
      <c r="AB19" s="42" t="s">
        <v>59</v>
      </c>
      <c r="AE19" s="44"/>
      <c r="AF19" s="44"/>
      <c r="AG19" s="44"/>
      <c r="AH19" s="44"/>
      <c r="AI19" s="44"/>
      <c r="AJ19" s="44"/>
      <c r="AK19" s="44"/>
      <c r="AL19" s="44"/>
      <c r="AM19" s="44"/>
    </row>
    <row r="20" spans="1:39" s="43" customFormat="1" ht="32.25" customHeight="1" thickTop="1" thickBot="1">
      <c r="A20" s="35">
        <v>1386</v>
      </c>
      <c r="B20" s="36">
        <v>12</v>
      </c>
      <c r="C20" s="37">
        <v>365</v>
      </c>
      <c r="D20" s="37">
        <v>52</v>
      </c>
      <c r="E20" s="37">
        <v>21</v>
      </c>
      <c r="F20" s="37">
        <v>73</v>
      </c>
      <c r="G20" s="37">
        <v>2140</v>
      </c>
      <c r="H20" s="37">
        <v>61000</v>
      </c>
      <c r="I20" s="45">
        <v>1.1000000000000001</v>
      </c>
      <c r="J20" s="37">
        <v>8815</v>
      </c>
      <c r="K20" s="37">
        <v>1250</v>
      </c>
      <c r="L20" s="39">
        <v>10065</v>
      </c>
      <c r="M20" s="40">
        <v>11651</v>
      </c>
      <c r="N20" s="40">
        <v>2913</v>
      </c>
      <c r="O20" s="40">
        <v>24400</v>
      </c>
      <c r="P20" s="39">
        <v>183000</v>
      </c>
      <c r="Q20" s="39">
        <v>274500</v>
      </c>
      <c r="R20" s="39">
        <v>411750</v>
      </c>
      <c r="S20" s="37">
        <v>100000</v>
      </c>
      <c r="T20" s="37">
        <v>100000</v>
      </c>
      <c r="U20" s="37">
        <v>100000</v>
      </c>
      <c r="V20" s="37">
        <v>100000</v>
      </c>
      <c r="W20" s="37"/>
      <c r="X20" s="37">
        <v>183000</v>
      </c>
      <c r="Y20" s="37">
        <v>305000</v>
      </c>
      <c r="Z20" s="37">
        <v>457500</v>
      </c>
      <c r="AA20" s="41" t="s">
        <v>60</v>
      </c>
      <c r="AB20" s="42" t="s">
        <v>61</v>
      </c>
      <c r="AE20" s="44"/>
      <c r="AF20" s="44"/>
      <c r="AG20" s="44"/>
      <c r="AH20" s="44"/>
      <c r="AI20" s="44"/>
      <c r="AJ20" s="44"/>
      <c r="AK20" s="44"/>
      <c r="AL20" s="44"/>
      <c r="AM20" s="44"/>
    </row>
    <row r="21" spans="1:39" s="43" customFormat="1" ht="32.25" customHeight="1" thickTop="1" thickBot="1">
      <c r="A21" s="35">
        <v>1387</v>
      </c>
      <c r="B21" s="36">
        <v>12</v>
      </c>
      <c r="C21" s="37">
        <v>366</v>
      </c>
      <c r="D21" s="37">
        <v>53</v>
      </c>
      <c r="E21" s="37">
        <v>25</v>
      </c>
      <c r="F21" s="37">
        <v>78</v>
      </c>
      <c r="G21" s="37">
        <v>2111</v>
      </c>
      <c r="H21" s="37">
        <v>73200</v>
      </c>
      <c r="I21" s="46">
        <v>1.05</v>
      </c>
      <c r="J21" s="37">
        <v>10568</v>
      </c>
      <c r="K21" s="37">
        <v>1250</v>
      </c>
      <c r="L21" s="39">
        <v>11818</v>
      </c>
      <c r="M21" s="40">
        <v>13981</v>
      </c>
      <c r="N21" s="40">
        <v>3495</v>
      </c>
      <c r="O21" s="40">
        <v>29280</v>
      </c>
      <c r="P21" s="39">
        <v>219600</v>
      </c>
      <c r="Q21" s="39">
        <v>329400</v>
      </c>
      <c r="R21" s="39">
        <v>494100</v>
      </c>
      <c r="S21" s="37">
        <v>100000</v>
      </c>
      <c r="T21" s="37">
        <v>100000</v>
      </c>
      <c r="U21" s="37">
        <v>100000</v>
      </c>
      <c r="V21" s="37">
        <v>100000</v>
      </c>
      <c r="W21" s="37"/>
      <c r="X21" s="37">
        <v>219600</v>
      </c>
      <c r="Y21" s="37">
        <v>366000</v>
      </c>
      <c r="Z21" s="37">
        <v>549000</v>
      </c>
      <c r="AA21" s="41" t="s">
        <v>62</v>
      </c>
      <c r="AB21" s="42" t="s">
        <v>63</v>
      </c>
      <c r="AE21" s="44"/>
      <c r="AF21" s="44"/>
      <c r="AG21" s="44"/>
      <c r="AH21" s="44"/>
      <c r="AI21" s="44"/>
      <c r="AJ21" s="44"/>
      <c r="AK21" s="44"/>
      <c r="AL21" s="44"/>
      <c r="AM21" s="44"/>
    </row>
    <row r="22" spans="1:39" s="43" customFormat="1" ht="32.25" customHeight="1" thickTop="1" thickBot="1">
      <c r="A22" s="35">
        <v>1388</v>
      </c>
      <c r="B22" s="36">
        <v>12</v>
      </c>
      <c r="C22" s="37">
        <v>365</v>
      </c>
      <c r="D22" s="37">
        <v>52</v>
      </c>
      <c r="E22" s="37">
        <v>21</v>
      </c>
      <c r="F22" s="37">
        <v>73</v>
      </c>
      <c r="G22" s="37">
        <v>2140</v>
      </c>
      <c r="H22" s="37">
        <v>87840</v>
      </c>
      <c r="I22" s="46">
        <v>1.05</v>
      </c>
      <c r="J22" s="37">
        <v>12409</v>
      </c>
      <c r="K22" s="37">
        <v>1250</v>
      </c>
      <c r="L22" s="39">
        <v>13659</v>
      </c>
      <c r="M22" s="40">
        <v>16777</v>
      </c>
      <c r="N22" s="40">
        <v>4194</v>
      </c>
      <c r="O22" s="40">
        <v>35136</v>
      </c>
      <c r="P22" s="39">
        <v>263520</v>
      </c>
      <c r="Q22" s="39">
        <v>395280</v>
      </c>
      <c r="R22" s="39">
        <v>592920</v>
      </c>
      <c r="S22" s="37">
        <v>100000</v>
      </c>
      <c r="T22" s="37">
        <v>100000</v>
      </c>
      <c r="U22" s="37">
        <v>100000</v>
      </c>
      <c r="V22" s="37">
        <v>100000</v>
      </c>
      <c r="W22" s="37"/>
      <c r="X22" s="37">
        <v>263520</v>
      </c>
      <c r="Y22" s="37">
        <v>439200</v>
      </c>
      <c r="Z22" s="37">
        <v>658800</v>
      </c>
      <c r="AA22" s="41" t="s">
        <v>64</v>
      </c>
      <c r="AB22" s="42" t="s">
        <v>65</v>
      </c>
      <c r="AE22" s="44"/>
      <c r="AF22" s="44"/>
      <c r="AG22" s="44"/>
      <c r="AH22" s="44"/>
      <c r="AI22" s="44"/>
      <c r="AJ22" s="44"/>
      <c r="AK22" s="44"/>
      <c r="AL22" s="44"/>
      <c r="AM22" s="44"/>
    </row>
    <row r="23" spans="1:39" s="43" customFormat="1" ht="32.25" customHeight="1" thickTop="1" thickBot="1">
      <c r="A23" s="35">
        <v>1389</v>
      </c>
      <c r="B23" s="36">
        <v>12</v>
      </c>
      <c r="C23" s="37">
        <v>365</v>
      </c>
      <c r="D23" s="37">
        <v>52</v>
      </c>
      <c r="E23" s="37">
        <v>20</v>
      </c>
      <c r="F23" s="37">
        <v>72</v>
      </c>
      <c r="G23" s="37">
        <v>2148</v>
      </c>
      <c r="H23" s="37">
        <v>101000</v>
      </c>
      <c r="I23" s="46">
        <v>1.07</v>
      </c>
      <c r="J23" s="37">
        <v>14615</v>
      </c>
      <c r="K23" s="37">
        <v>2000</v>
      </c>
      <c r="L23" s="39">
        <v>16615</v>
      </c>
      <c r="M23" s="40">
        <v>19291</v>
      </c>
      <c r="N23" s="40">
        <v>4823</v>
      </c>
      <c r="O23" s="40">
        <v>40400</v>
      </c>
      <c r="P23" s="39">
        <v>303000</v>
      </c>
      <c r="Q23" s="39">
        <v>454500</v>
      </c>
      <c r="R23" s="39">
        <v>681750</v>
      </c>
      <c r="S23" s="37">
        <v>200000</v>
      </c>
      <c r="T23" s="37">
        <v>200000</v>
      </c>
      <c r="U23" s="37">
        <v>100000</v>
      </c>
      <c r="V23" s="37">
        <v>100000</v>
      </c>
      <c r="W23" s="37"/>
      <c r="X23" s="37">
        <v>303000</v>
      </c>
      <c r="Y23" s="37">
        <v>505000</v>
      </c>
      <c r="Z23" s="37">
        <v>757500</v>
      </c>
      <c r="AA23" s="41" t="s">
        <v>66</v>
      </c>
      <c r="AB23" s="42" t="s">
        <v>67</v>
      </c>
      <c r="AE23" s="44"/>
      <c r="AF23" s="44"/>
      <c r="AG23" s="44"/>
      <c r="AH23" s="44"/>
      <c r="AI23" s="44"/>
      <c r="AJ23" s="44"/>
      <c r="AK23" s="44"/>
      <c r="AL23" s="44"/>
      <c r="AM23" s="44"/>
    </row>
    <row r="24" spans="1:39" s="43" customFormat="1" ht="32.25" customHeight="1" thickTop="1" thickBot="1">
      <c r="A24" s="35">
        <v>1390</v>
      </c>
      <c r="B24" s="36">
        <v>12</v>
      </c>
      <c r="C24" s="37">
        <v>365</v>
      </c>
      <c r="D24" s="37">
        <v>51</v>
      </c>
      <c r="E24" s="37">
        <v>23</v>
      </c>
      <c r="F24" s="37">
        <v>74</v>
      </c>
      <c r="G24" s="37">
        <v>2133</v>
      </c>
      <c r="H24" s="37">
        <v>110100</v>
      </c>
      <c r="I24" s="46">
        <v>1.06</v>
      </c>
      <c r="J24" s="37">
        <v>17612</v>
      </c>
      <c r="K24" s="37">
        <v>2000</v>
      </c>
      <c r="L24" s="39">
        <v>19612</v>
      </c>
      <c r="M24" s="40">
        <v>21029</v>
      </c>
      <c r="N24" s="40">
        <v>5257</v>
      </c>
      <c r="O24" s="40">
        <v>44040</v>
      </c>
      <c r="P24" s="39">
        <v>330300</v>
      </c>
      <c r="Q24" s="39">
        <v>495450</v>
      </c>
      <c r="R24" s="39">
        <v>743175</v>
      </c>
      <c r="S24" s="37">
        <v>280000</v>
      </c>
      <c r="T24" s="37">
        <v>280000</v>
      </c>
      <c r="U24" s="37">
        <v>100000</v>
      </c>
      <c r="V24" s="37">
        <v>100000</v>
      </c>
      <c r="W24" s="37"/>
      <c r="X24" s="37">
        <v>330300</v>
      </c>
      <c r="Y24" s="37">
        <v>550500</v>
      </c>
      <c r="Z24" s="37">
        <v>825750</v>
      </c>
      <c r="AA24" s="41" t="s">
        <v>68</v>
      </c>
      <c r="AB24" s="42" t="s">
        <v>69</v>
      </c>
      <c r="AE24" s="44"/>
      <c r="AF24" s="44"/>
      <c r="AG24" s="44"/>
      <c r="AH24" s="44"/>
      <c r="AI24" s="44"/>
      <c r="AJ24" s="44"/>
      <c r="AK24" s="44"/>
      <c r="AL24" s="44"/>
      <c r="AM24" s="44"/>
    </row>
    <row r="25" spans="1:39" s="43" customFormat="1" ht="32.25" customHeight="1" thickTop="1" thickBot="1">
      <c r="A25" s="35">
        <v>1391</v>
      </c>
      <c r="B25" s="36">
        <v>12</v>
      </c>
      <c r="C25" s="37">
        <v>366</v>
      </c>
      <c r="D25" s="37">
        <v>52</v>
      </c>
      <c r="E25" s="37">
        <v>21</v>
      </c>
      <c r="F25" s="37">
        <v>73</v>
      </c>
      <c r="G25" s="37">
        <v>2148</v>
      </c>
      <c r="H25" s="37">
        <v>129900</v>
      </c>
      <c r="I25" s="46">
        <v>1.07</v>
      </c>
      <c r="J25" s="37">
        <v>20984</v>
      </c>
      <c r="K25" s="37">
        <v>2500</v>
      </c>
      <c r="L25" s="39">
        <v>23484</v>
      </c>
      <c r="M25" s="40">
        <v>24810</v>
      </c>
      <c r="N25" s="40">
        <v>6203</v>
      </c>
      <c r="O25" s="40">
        <v>51960</v>
      </c>
      <c r="P25" s="39">
        <v>389700</v>
      </c>
      <c r="Q25" s="39">
        <v>584550</v>
      </c>
      <c r="R25" s="39">
        <v>876825</v>
      </c>
      <c r="S25" s="37">
        <v>350000</v>
      </c>
      <c r="T25" s="37">
        <v>350000</v>
      </c>
      <c r="U25" s="37">
        <v>100000</v>
      </c>
      <c r="V25" s="37">
        <v>100000</v>
      </c>
      <c r="W25" s="37"/>
      <c r="X25" s="37">
        <v>389700</v>
      </c>
      <c r="Y25" s="37">
        <v>649500</v>
      </c>
      <c r="Z25" s="37">
        <v>974250</v>
      </c>
      <c r="AA25" s="41" t="s">
        <v>70</v>
      </c>
      <c r="AB25" s="42" t="s">
        <v>71</v>
      </c>
      <c r="AE25" s="44"/>
      <c r="AF25" s="44"/>
      <c r="AG25" s="44"/>
      <c r="AH25" s="44"/>
      <c r="AI25" s="44"/>
      <c r="AJ25" s="44"/>
      <c r="AK25" s="44"/>
      <c r="AL25" s="44"/>
      <c r="AM25" s="44"/>
    </row>
    <row r="26" spans="1:39" s="43" customFormat="1" ht="32.25" customHeight="1" thickTop="1" thickBot="1">
      <c r="A26" s="64">
        <v>1392</v>
      </c>
      <c r="B26" s="36">
        <v>4</v>
      </c>
      <c r="C26" s="37">
        <v>124</v>
      </c>
      <c r="D26" s="37">
        <v>18</v>
      </c>
      <c r="E26" s="37">
        <v>9</v>
      </c>
      <c r="F26" s="37">
        <v>27</v>
      </c>
      <c r="G26" s="37">
        <v>711</v>
      </c>
      <c r="H26" s="37">
        <v>162375</v>
      </c>
      <c r="I26" s="45">
        <v>1.1000000000000001</v>
      </c>
      <c r="J26" s="47">
        <v>25833</v>
      </c>
      <c r="K26" s="37">
        <v>3000</v>
      </c>
      <c r="L26" s="39">
        <v>28833</v>
      </c>
      <c r="M26" s="40">
        <v>31013</v>
      </c>
      <c r="N26" s="40">
        <v>7753</v>
      </c>
      <c r="O26" s="40">
        <v>64950</v>
      </c>
      <c r="P26" s="39">
        <v>487125</v>
      </c>
      <c r="Q26" s="39">
        <v>730688</v>
      </c>
      <c r="R26" s="39">
        <v>1096031</v>
      </c>
      <c r="S26" s="37">
        <v>350000</v>
      </c>
      <c r="T26" s="37">
        <v>350000</v>
      </c>
      <c r="U26" s="37">
        <v>100000</v>
      </c>
      <c r="V26" s="37">
        <v>100000</v>
      </c>
      <c r="W26" s="37"/>
      <c r="X26" s="37">
        <v>487125</v>
      </c>
      <c r="Y26" s="37">
        <v>811875</v>
      </c>
      <c r="Z26" s="37">
        <v>1217813</v>
      </c>
      <c r="AA26" s="41" t="s">
        <v>72</v>
      </c>
      <c r="AB26" s="64" t="s">
        <v>73</v>
      </c>
      <c r="AE26" s="44"/>
      <c r="AF26" s="44"/>
      <c r="AG26" s="44"/>
      <c r="AH26" s="44"/>
      <c r="AI26" s="44"/>
      <c r="AJ26" s="44"/>
      <c r="AK26" s="44"/>
      <c r="AL26" s="44"/>
      <c r="AM26" s="44"/>
    </row>
    <row r="27" spans="1:39" s="43" customFormat="1" ht="32.25" customHeight="1" thickTop="1" thickBot="1">
      <c r="A27" s="65"/>
      <c r="B27" s="36">
        <v>8</v>
      </c>
      <c r="C27" s="37">
        <v>241</v>
      </c>
      <c r="D27" s="37">
        <v>34</v>
      </c>
      <c r="E27" s="37">
        <v>12</v>
      </c>
      <c r="F27" s="37">
        <v>45</v>
      </c>
      <c r="G27" s="37">
        <v>1437</v>
      </c>
      <c r="H27" s="37">
        <v>162375</v>
      </c>
      <c r="I27" s="48">
        <v>1.1000000000000001</v>
      </c>
      <c r="J27" s="40">
        <v>31716</v>
      </c>
      <c r="K27" s="37">
        <v>3000</v>
      </c>
      <c r="L27" s="39">
        <v>28833</v>
      </c>
      <c r="M27" s="40">
        <v>31013</v>
      </c>
      <c r="N27" s="40">
        <v>7753</v>
      </c>
      <c r="O27" s="40">
        <v>64950</v>
      </c>
      <c r="P27" s="39">
        <v>487125</v>
      </c>
      <c r="Q27" s="39">
        <v>730688</v>
      </c>
      <c r="R27" s="39">
        <v>1096031</v>
      </c>
      <c r="S27" s="37">
        <v>500000</v>
      </c>
      <c r="T27" s="37">
        <v>500000</v>
      </c>
      <c r="U27" s="37">
        <v>100000</v>
      </c>
      <c r="V27" s="37">
        <v>100000</v>
      </c>
      <c r="W27" s="37"/>
      <c r="X27" s="37">
        <v>487125</v>
      </c>
      <c r="Y27" s="37">
        <v>811875</v>
      </c>
      <c r="Z27" s="37">
        <v>1217813</v>
      </c>
      <c r="AA27" s="41" t="s">
        <v>72</v>
      </c>
      <c r="AB27" s="65"/>
      <c r="AE27" s="44"/>
      <c r="AF27" s="44"/>
      <c r="AG27" s="44"/>
      <c r="AH27" s="44"/>
      <c r="AI27" s="44"/>
      <c r="AJ27" s="44"/>
      <c r="AK27" s="44"/>
      <c r="AL27" s="44"/>
      <c r="AM27" s="44"/>
    </row>
    <row r="28" spans="1:39" s="43" customFormat="1" ht="32.25" customHeight="1" thickTop="1" thickBot="1">
      <c r="A28" s="35">
        <v>1393</v>
      </c>
      <c r="B28" s="36">
        <v>12</v>
      </c>
      <c r="C28" s="37">
        <v>365</v>
      </c>
      <c r="D28" s="37">
        <v>53</v>
      </c>
      <c r="E28" s="37">
        <v>21</v>
      </c>
      <c r="F28" s="37">
        <v>74</v>
      </c>
      <c r="G28" s="37">
        <v>2133</v>
      </c>
      <c r="H28" s="37">
        <v>202970</v>
      </c>
      <c r="I28" s="49">
        <v>1.1200000000000001</v>
      </c>
      <c r="J28" s="50">
        <v>32293</v>
      </c>
      <c r="K28" s="51">
        <v>5000</v>
      </c>
      <c r="L28" s="52">
        <v>37293</v>
      </c>
      <c r="M28" s="51">
        <v>38766</v>
      </c>
      <c r="N28" s="51">
        <v>9692</v>
      </c>
      <c r="O28" s="51">
        <v>81188</v>
      </c>
      <c r="P28" s="39">
        <v>608910</v>
      </c>
      <c r="Q28" s="39">
        <v>913365</v>
      </c>
      <c r="R28" s="39">
        <v>1370048</v>
      </c>
      <c r="S28" s="37">
        <v>800000</v>
      </c>
      <c r="T28" s="37">
        <v>800000</v>
      </c>
      <c r="U28" s="37">
        <v>200000</v>
      </c>
      <c r="V28" s="37">
        <v>200000</v>
      </c>
      <c r="W28" s="37"/>
      <c r="X28" s="37">
        <v>608910</v>
      </c>
      <c r="Y28" s="37">
        <v>1014850</v>
      </c>
      <c r="Z28" s="37">
        <v>1522275</v>
      </c>
      <c r="AA28" s="41" t="s">
        <v>108</v>
      </c>
      <c r="AB28" s="42" t="s">
        <v>74</v>
      </c>
      <c r="AE28" s="44"/>
      <c r="AF28" s="44"/>
      <c r="AG28" s="44"/>
      <c r="AH28" s="44"/>
      <c r="AI28" s="44"/>
      <c r="AJ28" s="44"/>
      <c r="AK28" s="44"/>
      <c r="AL28" s="44"/>
      <c r="AM28" s="44"/>
    </row>
    <row r="29" spans="1:39" s="43" customFormat="1" ht="32.25" customHeight="1" thickTop="1" thickBot="1">
      <c r="A29" s="35">
        <v>1394</v>
      </c>
      <c r="B29" s="36">
        <v>12</v>
      </c>
      <c r="C29" s="37">
        <v>365</v>
      </c>
      <c r="D29" s="37">
        <v>52</v>
      </c>
      <c r="E29" s="37">
        <v>23</v>
      </c>
      <c r="F29" s="37">
        <v>75</v>
      </c>
      <c r="G29" s="37">
        <v>2126</v>
      </c>
      <c r="H29" s="39">
        <v>237475</v>
      </c>
      <c r="I29" s="53">
        <v>1.17</v>
      </c>
      <c r="J29" s="50">
        <v>43633</v>
      </c>
      <c r="K29" s="51">
        <v>10000</v>
      </c>
      <c r="L29" s="52">
        <v>53633</v>
      </c>
      <c r="M29" s="51">
        <v>45357</v>
      </c>
      <c r="N29" s="51">
        <v>11339</v>
      </c>
      <c r="O29" s="51">
        <v>94990</v>
      </c>
      <c r="P29" s="39">
        <v>712425</v>
      </c>
      <c r="Q29" s="39">
        <v>1068638</v>
      </c>
      <c r="R29" s="39">
        <v>1602956</v>
      </c>
      <c r="S29" s="37">
        <v>1100000</v>
      </c>
      <c r="T29" s="37">
        <v>1100000</v>
      </c>
      <c r="U29" s="37">
        <v>200000</v>
      </c>
      <c r="V29" s="37">
        <v>200000</v>
      </c>
      <c r="W29" s="37"/>
      <c r="X29" s="37">
        <v>712425</v>
      </c>
      <c r="Y29" s="37">
        <v>1187375</v>
      </c>
      <c r="Z29" s="37">
        <v>1781063</v>
      </c>
      <c r="AA29" s="41" t="s">
        <v>75</v>
      </c>
      <c r="AB29" s="42" t="s">
        <v>76</v>
      </c>
      <c r="AE29" s="44"/>
      <c r="AF29" s="44"/>
      <c r="AG29" s="44"/>
      <c r="AH29" s="44"/>
      <c r="AI29" s="44"/>
      <c r="AJ29" s="44"/>
      <c r="AK29" s="44"/>
      <c r="AL29" s="44"/>
      <c r="AM29" s="44"/>
    </row>
    <row r="30" spans="1:39" s="43" customFormat="1" ht="32.25" customHeight="1" thickTop="1" thickBot="1">
      <c r="A30" s="66">
        <v>1395</v>
      </c>
      <c r="B30" s="36">
        <v>6</v>
      </c>
      <c r="C30" s="37">
        <v>186</v>
      </c>
      <c r="D30" s="37">
        <v>26</v>
      </c>
      <c r="E30" s="37">
        <v>15</v>
      </c>
      <c r="F30" s="37">
        <v>41</v>
      </c>
      <c r="G30" s="37">
        <v>1063</v>
      </c>
      <c r="H30" s="39">
        <v>270722</v>
      </c>
      <c r="I30" s="49">
        <v>1.1399999999999999</v>
      </c>
      <c r="J30" s="50">
        <v>61141</v>
      </c>
      <c r="K30" s="51">
        <v>10000</v>
      </c>
      <c r="L30" s="52">
        <v>71141</v>
      </c>
      <c r="M30" s="51">
        <v>51707</v>
      </c>
      <c r="N30" s="51">
        <v>12927</v>
      </c>
      <c r="O30" s="51">
        <v>108289</v>
      </c>
      <c r="P30" s="39">
        <v>812166</v>
      </c>
      <c r="Q30" s="39">
        <v>1218249</v>
      </c>
      <c r="R30" s="39">
        <v>1827374</v>
      </c>
      <c r="S30" s="37">
        <v>1100000</v>
      </c>
      <c r="T30" s="37">
        <v>1100000</v>
      </c>
      <c r="U30" s="37">
        <v>200000</v>
      </c>
      <c r="V30" s="37">
        <v>200000</v>
      </c>
      <c r="W30" s="37"/>
      <c r="X30" s="37">
        <v>812166</v>
      </c>
      <c r="Y30" s="37">
        <v>1353610</v>
      </c>
      <c r="Z30" s="37">
        <v>2030415</v>
      </c>
      <c r="AA30" s="41" t="s">
        <v>77</v>
      </c>
      <c r="AB30" s="68" t="s">
        <v>78</v>
      </c>
      <c r="AE30" s="44"/>
      <c r="AF30" s="44"/>
      <c r="AG30" s="44"/>
      <c r="AH30" s="44"/>
      <c r="AI30" s="44"/>
      <c r="AJ30" s="44"/>
      <c r="AK30" s="44"/>
      <c r="AL30" s="44"/>
      <c r="AM30" s="44"/>
    </row>
    <row r="31" spans="1:39" s="43" customFormat="1" ht="32.25" customHeight="1" thickTop="1" thickBot="1">
      <c r="A31" s="67"/>
      <c r="B31" s="36">
        <v>6</v>
      </c>
      <c r="C31" s="37">
        <v>180</v>
      </c>
      <c r="D31" s="37">
        <v>26</v>
      </c>
      <c r="E31" s="37">
        <v>9</v>
      </c>
      <c r="F31" s="37">
        <v>35</v>
      </c>
      <c r="G31" s="37">
        <v>1063</v>
      </c>
      <c r="H31" s="39">
        <v>270722</v>
      </c>
      <c r="I31" s="49">
        <v>1.1399999999999999</v>
      </c>
      <c r="J31" s="50">
        <v>61141</v>
      </c>
      <c r="K31" s="51">
        <v>10000</v>
      </c>
      <c r="L31" s="52">
        <v>71141</v>
      </c>
      <c r="M31" s="51">
        <v>51707</v>
      </c>
      <c r="N31" s="51">
        <v>12927</v>
      </c>
      <c r="O31" s="51">
        <v>108289</v>
      </c>
      <c r="P31" s="39">
        <v>812166</v>
      </c>
      <c r="Q31" s="39">
        <v>1218249</v>
      </c>
      <c r="R31" s="39">
        <v>1827374</v>
      </c>
      <c r="S31" s="37">
        <v>1100000</v>
      </c>
      <c r="T31" s="37">
        <v>1100000</v>
      </c>
      <c r="U31" s="37">
        <v>400000</v>
      </c>
      <c r="V31" s="37">
        <v>400000</v>
      </c>
      <c r="W31" s="37"/>
      <c r="X31" s="37">
        <v>812166</v>
      </c>
      <c r="Y31" s="37">
        <v>1353610</v>
      </c>
      <c r="Z31" s="37">
        <v>2030415</v>
      </c>
      <c r="AA31" s="41" t="s">
        <v>77</v>
      </c>
      <c r="AB31" s="69"/>
      <c r="AE31" s="44"/>
      <c r="AF31" s="44"/>
      <c r="AG31" s="44"/>
      <c r="AH31" s="44"/>
      <c r="AI31" s="44"/>
      <c r="AJ31" s="44"/>
      <c r="AK31" s="44"/>
      <c r="AL31" s="44"/>
      <c r="AM31" s="44"/>
    </row>
    <row r="32" spans="1:39" s="43" customFormat="1" ht="32.25" customHeight="1" thickTop="1" thickBot="1">
      <c r="A32" s="35">
        <v>1396</v>
      </c>
      <c r="B32" s="36">
        <v>12</v>
      </c>
      <c r="C32" s="37">
        <v>365</v>
      </c>
      <c r="D32" s="37">
        <v>52</v>
      </c>
      <c r="E32" s="37">
        <v>20</v>
      </c>
      <c r="F32" s="37">
        <v>72</v>
      </c>
      <c r="G32" s="37">
        <v>2148</v>
      </c>
      <c r="H32" s="39">
        <v>309977</v>
      </c>
      <c r="I32" s="49">
        <v>1.1200000000000001</v>
      </c>
      <c r="J32" s="50">
        <v>79678</v>
      </c>
      <c r="K32" s="51">
        <v>17000</v>
      </c>
      <c r="L32" s="52">
        <v>96678</v>
      </c>
      <c r="M32" s="51">
        <v>59204</v>
      </c>
      <c r="N32" s="51">
        <v>14801</v>
      </c>
      <c r="O32" s="51">
        <v>123991</v>
      </c>
      <c r="P32" s="39">
        <v>929931</v>
      </c>
      <c r="Q32" s="39">
        <v>1394897</v>
      </c>
      <c r="R32" s="39">
        <v>2092345</v>
      </c>
      <c r="S32" s="37">
        <v>1100000</v>
      </c>
      <c r="T32" s="37">
        <v>1100000</v>
      </c>
      <c r="U32" s="37">
        <v>400000</v>
      </c>
      <c r="V32" s="37">
        <v>400000</v>
      </c>
      <c r="W32" s="37"/>
      <c r="X32" s="37">
        <v>929931</v>
      </c>
      <c r="Y32" s="37">
        <v>1549885</v>
      </c>
      <c r="Z32" s="37">
        <v>2324828</v>
      </c>
      <c r="AA32" s="41" t="s">
        <v>79</v>
      </c>
      <c r="AB32" s="42" t="s">
        <v>80</v>
      </c>
      <c r="AE32" s="44"/>
      <c r="AF32" s="44"/>
      <c r="AG32" s="44"/>
      <c r="AH32" s="44"/>
      <c r="AI32" s="44"/>
      <c r="AJ32" s="44"/>
      <c r="AK32" s="44"/>
      <c r="AL32" s="44"/>
      <c r="AM32" s="44"/>
    </row>
    <row r="33" spans="1:39" s="43" customFormat="1" ht="32.25" customHeight="1" thickTop="1" thickBot="1">
      <c r="A33" s="35">
        <v>1397</v>
      </c>
      <c r="B33" s="36">
        <v>12</v>
      </c>
      <c r="C33" s="37">
        <v>365</v>
      </c>
      <c r="D33" s="37">
        <v>52</v>
      </c>
      <c r="E33" s="37">
        <v>24</v>
      </c>
      <c r="F33" s="37">
        <v>76</v>
      </c>
      <c r="G33" s="37">
        <v>2118</v>
      </c>
      <c r="H33" s="37">
        <v>370423</v>
      </c>
      <c r="I33" s="54">
        <v>1.1040000000000001</v>
      </c>
      <c r="J33" s="50">
        <v>106733</v>
      </c>
      <c r="K33" s="51">
        <v>17000</v>
      </c>
      <c r="L33" s="52">
        <v>123733</v>
      </c>
      <c r="M33" s="51">
        <v>70749</v>
      </c>
      <c r="N33" s="51">
        <v>17687</v>
      </c>
      <c r="O33" s="51">
        <v>148169</v>
      </c>
      <c r="P33" s="39">
        <v>1111269</v>
      </c>
      <c r="Q33" s="39">
        <v>1666904</v>
      </c>
      <c r="R33" s="39">
        <v>2500355</v>
      </c>
      <c r="S33" s="37">
        <v>1100000</v>
      </c>
      <c r="T33" s="37">
        <v>1100000</v>
      </c>
      <c r="U33" s="37">
        <v>400000</v>
      </c>
      <c r="V33" s="37">
        <v>400000</v>
      </c>
      <c r="W33" s="37"/>
      <c r="X33" s="37">
        <v>1111269</v>
      </c>
      <c r="Y33" s="37">
        <v>1852115</v>
      </c>
      <c r="Z33" s="37">
        <v>2778173</v>
      </c>
      <c r="AA33" s="41" t="s">
        <v>81</v>
      </c>
      <c r="AB33" s="42" t="s">
        <v>82</v>
      </c>
      <c r="AE33" s="44"/>
      <c r="AF33" s="44"/>
      <c r="AG33" s="44"/>
      <c r="AH33" s="44"/>
      <c r="AI33" s="44"/>
      <c r="AJ33" s="44"/>
      <c r="AK33" s="44"/>
      <c r="AL33" s="44"/>
      <c r="AM33" s="44"/>
    </row>
    <row r="34" spans="1:39" s="43" customFormat="1" ht="32.25" customHeight="1" thickTop="1" thickBot="1">
      <c r="A34" s="35">
        <v>1398</v>
      </c>
      <c r="B34" s="36">
        <v>12</v>
      </c>
      <c r="C34" s="37">
        <v>365</v>
      </c>
      <c r="D34" s="37">
        <v>52</v>
      </c>
      <c r="E34" s="37">
        <v>22</v>
      </c>
      <c r="F34" s="37">
        <v>74</v>
      </c>
      <c r="G34" s="37">
        <v>2133</v>
      </c>
      <c r="H34" s="37">
        <v>505627</v>
      </c>
      <c r="I34" s="49">
        <v>1.1299999999999999</v>
      </c>
      <c r="J34" s="50">
        <v>139818</v>
      </c>
      <c r="K34" s="51">
        <v>23333</v>
      </c>
      <c r="L34" s="52">
        <v>163151</v>
      </c>
      <c r="M34" s="51">
        <v>96573</v>
      </c>
      <c r="N34" s="51">
        <v>24143</v>
      </c>
      <c r="O34" s="51">
        <v>202251</v>
      </c>
      <c r="P34" s="39">
        <v>1516881</v>
      </c>
      <c r="Q34" s="39">
        <v>2275322</v>
      </c>
      <c r="R34" s="39">
        <v>3412982</v>
      </c>
      <c r="S34" s="37">
        <v>1900000</v>
      </c>
      <c r="T34" s="37">
        <v>1900000</v>
      </c>
      <c r="U34" s="37">
        <v>1000000</v>
      </c>
      <c r="V34" s="37">
        <v>1000000</v>
      </c>
      <c r="W34" s="37"/>
      <c r="X34" s="37">
        <v>1516881</v>
      </c>
      <c r="Y34" s="37">
        <v>2528135</v>
      </c>
      <c r="Z34" s="37">
        <v>3792203</v>
      </c>
      <c r="AA34" s="41" t="s">
        <v>83</v>
      </c>
      <c r="AB34" s="42" t="s">
        <v>84</v>
      </c>
      <c r="AE34" s="44"/>
      <c r="AF34" s="44"/>
      <c r="AG34" s="44"/>
      <c r="AH34" s="44"/>
      <c r="AI34" s="44"/>
      <c r="AJ34" s="44"/>
      <c r="AK34" s="44"/>
      <c r="AL34" s="44"/>
      <c r="AM34" s="44"/>
    </row>
    <row r="35" spans="1:39" s="43" customFormat="1" ht="32.25" customHeight="1" thickTop="1" thickBot="1">
      <c r="A35" s="70">
        <v>1399</v>
      </c>
      <c r="B35" s="36">
        <v>3</v>
      </c>
      <c r="C35" s="37">
        <v>93</v>
      </c>
      <c r="D35" s="37">
        <v>14</v>
      </c>
      <c r="E35" s="37">
        <v>11</v>
      </c>
      <c r="F35" s="37">
        <v>25</v>
      </c>
      <c r="G35" s="37">
        <v>498</v>
      </c>
      <c r="H35" s="37">
        <v>611809</v>
      </c>
      <c r="I35" s="49">
        <v>1.1499999999999999</v>
      </c>
      <c r="J35" s="50">
        <v>187621</v>
      </c>
      <c r="K35" s="51">
        <v>58333</v>
      </c>
      <c r="L35" s="52">
        <v>220957</v>
      </c>
      <c r="M35" s="51">
        <v>116853</v>
      </c>
      <c r="N35" s="51">
        <v>29213</v>
      </c>
      <c r="O35" s="51">
        <v>244724</v>
      </c>
      <c r="P35" s="39">
        <v>1835427</v>
      </c>
      <c r="Q35" s="39">
        <v>2753141</v>
      </c>
      <c r="R35" s="39">
        <v>4129711</v>
      </c>
      <c r="S35" s="37">
        <v>4000000</v>
      </c>
      <c r="T35" s="37">
        <v>4000000</v>
      </c>
      <c r="U35" s="37">
        <v>1000000</v>
      </c>
      <c r="V35" s="37">
        <v>1000000</v>
      </c>
      <c r="W35" s="37"/>
      <c r="X35" s="37">
        <v>1835427</v>
      </c>
      <c r="Y35" s="37">
        <v>3059045</v>
      </c>
      <c r="Z35" s="37">
        <v>4588568</v>
      </c>
      <c r="AA35" s="41" t="s">
        <v>85</v>
      </c>
      <c r="AB35" s="72" t="s">
        <v>86</v>
      </c>
      <c r="AE35" s="44"/>
      <c r="AF35" s="44"/>
      <c r="AG35" s="44"/>
      <c r="AH35" s="44"/>
      <c r="AI35" s="44"/>
      <c r="AJ35" s="44"/>
      <c r="AK35" s="44"/>
      <c r="AL35" s="44"/>
      <c r="AM35" s="44"/>
    </row>
    <row r="36" spans="1:39" s="43" customFormat="1" ht="32.25" customHeight="1" thickTop="1" thickBot="1">
      <c r="A36" s="71"/>
      <c r="B36" s="36">
        <v>9</v>
      </c>
      <c r="C36" s="37">
        <v>273</v>
      </c>
      <c r="D36" s="37">
        <v>39</v>
      </c>
      <c r="E36" s="37">
        <v>11</v>
      </c>
      <c r="F36" s="37">
        <v>50</v>
      </c>
      <c r="G36" s="37">
        <v>1635</v>
      </c>
      <c r="H36" s="37">
        <v>636809</v>
      </c>
      <c r="I36" s="49">
        <v>1.1499999999999999</v>
      </c>
      <c r="J36" s="50">
        <v>187624</v>
      </c>
      <c r="K36" s="51">
        <v>33333</v>
      </c>
      <c r="L36" s="52">
        <v>220957</v>
      </c>
      <c r="M36" s="51">
        <v>121628</v>
      </c>
      <c r="N36" s="51">
        <v>30407</v>
      </c>
      <c r="O36" s="51">
        <v>254724</v>
      </c>
      <c r="P36" s="39">
        <v>1910427</v>
      </c>
      <c r="Q36" s="39">
        <v>2865641</v>
      </c>
      <c r="R36" s="39">
        <v>4298461</v>
      </c>
      <c r="S36" s="37">
        <v>4000000</v>
      </c>
      <c r="T36" s="37">
        <v>4000000</v>
      </c>
      <c r="U36" s="37">
        <v>3000000</v>
      </c>
      <c r="V36" s="37">
        <v>3000000</v>
      </c>
      <c r="W36" s="37"/>
      <c r="X36" s="37">
        <v>1910427</v>
      </c>
      <c r="Y36" s="37">
        <v>3184045</v>
      </c>
      <c r="Z36" s="37">
        <v>4776068</v>
      </c>
      <c r="AA36" s="41" t="s">
        <v>87</v>
      </c>
      <c r="AB36" s="69"/>
      <c r="AE36" s="44"/>
      <c r="AF36" s="44"/>
      <c r="AG36" s="44"/>
      <c r="AH36" s="44"/>
      <c r="AI36" s="44"/>
      <c r="AJ36" s="44"/>
      <c r="AK36" s="44"/>
      <c r="AL36" s="44"/>
      <c r="AM36" s="44"/>
    </row>
    <row r="37" spans="1:39" s="43" customFormat="1" ht="32.25" customHeight="1" thickTop="1" thickBot="1">
      <c r="A37" s="35">
        <v>1400</v>
      </c>
      <c r="B37" s="36">
        <v>12</v>
      </c>
      <c r="C37" s="37">
        <v>365</v>
      </c>
      <c r="D37" s="37">
        <v>52</v>
      </c>
      <c r="E37" s="37">
        <v>22</v>
      </c>
      <c r="F37" s="37">
        <v>74</v>
      </c>
      <c r="G37" s="37">
        <v>2133</v>
      </c>
      <c r="H37" s="37">
        <v>885165</v>
      </c>
      <c r="I37" s="49">
        <v>1.26</v>
      </c>
      <c r="J37" s="50">
        <v>278406</v>
      </c>
      <c r="K37" s="51">
        <v>46667</v>
      </c>
      <c r="L37" s="52">
        <v>325073</v>
      </c>
      <c r="M37" s="51">
        <v>169063</v>
      </c>
      <c r="N37" s="51">
        <v>42266</v>
      </c>
      <c r="O37" s="51">
        <v>354066</v>
      </c>
      <c r="P37" s="39">
        <v>2655495</v>
      </c>
      <c r="Q37" s="39">
        <v>3983243</v>
      </c>
      <c r="R37" s="39">
        <v>5974864</v>
      </c>
      <c r="S37" s="37">
        <v>6000000</v>
      </c>
      <c r="T37" s="37">
        <v>6000000</v>
      </c>
      <c r="U37" s="37">
        <v>4500000</v>
      </c>
      <c r="V37" s="37">
        <v>4500000</v>
      </c>
      <c r="W37" s="37"/>
      <c r="X37" s="37">
        <v>2655495</v>
      </c>
      <c r="Y37" s="37">
        <v>4425825</v>
      </c>
      <c r="Z37" s="37">
        <v>6638738</v>
      </c>
      <c r="AA37" s="41" t="s">
        <v>89</v>
      </c>
      <c r="AB37" s="42" t="s">
        <v>88</v>
      </c>
      <c r="AE37" s="44"/>
      <c r="AF37" s="44"/>
      <c r="AG37" s="44"/>
      <c r="AH37" s="44"/>
      <c r="AI37" s="44"/>
      <c r="AJ37" s="44"/>
      <c r="AK37" s="44"/>
      <c r="AL37" s="44"/>
      <c r="AM37" s="44"/>
    </row>
    <row r="38" spans="1:39" s="43" customFormat="1" ht="32.25" customHeight="1" thickTop="1" thickBot="1">
      <c r="A38" s="35">
        <v>1401</v>
      </c>
      <c r="B38" s="36">
        <v>12</v>
      </c>
      <c r="C38" s="37">
        <v>365</v>
      </c>
      <c r="D38" s="37">
        <v>52</v>
      </c>
      <c r="E38" s="37">
        <v>25</v>
      </c>
      <c r="F38" s="37">
        <v>77</v>
      </c>
      <c r="G38" s="37">
        <v>2111</v>
      </c>
      <c r="H38" s="37">
        <v>1393250</v>
      </c>
      <c r="I38" s="49">
        <v>1.38</v>
      </c>
      <c r="J38" s="50">
        <v>448600</v>
      </c>
      <c r="K38" s="51">
        <v>70000</v>
      </c>
      <c r="L38" s="52">
        <v>518600</v>
      </c>
      <c r="M38" s="51">
        <v>266105</v>
      </c>
      <c r="N38" s="51">
        <v>66526</v>
      </c>
      <c r="O38" s="51">
        <v>557300</v>
      </c>
      <c r="P38" s="39">
        <v>4179750</v>
      </c>
      <c r="Q38" s="39">
        <v>6269625</v>
      </c>
      <c r="R38" s="39">
        <v>9404438</v>
      </c>
      <c r="S38" s="37">
        <v>8500000</v>
      </c>
      <c r="T38" s="37">
        <v>8500000</v>
      </c>
      <c r="U38" s="37">
        <v>5500000</v>
      </c>
      <c r="V38" s="37">
        <v>5500000</v>
      </c>
      <c r="W38" s="37"/>
      <c r="X38" s="37">
        <v>4179750</v>
      </c>
      <c r="Y38" s="37">
        <v>6966250</v>
      </c>
      <c r="Z38" s="37">
        <v>10449375</v>
      </c>
      <c r="AA38" s="41" t="s">
        <v>91</v>
      </c>
      <c r="AB38" s="42" t="s">
        <v>90</v>
      </c>
      <c r="AE38" s="44"/>
      <c r="AF38" s="44"/>
      <c r="AG38" s="44"/>
      <c r="AH38" s="44"/>
      <c r="AI38" s="44"/>
      <c r="AJ38" s="44"/>
      <c r="AK38" s="44"/>
      <c r="AL38" s="44"/>
      <c r="AM38" s="44"/>
    </row>
    <row r="39" spans="1:39" s="43" customFormat="1" ht="32.25" customHeight="1" thickTop="1" thickBot="1">
      <c r="A39" s="35">
        <v>1402</v>
      </c>
      <c r="B39" s="36">
        <v>12</v>
      </c>
      <c r="C39" s="37">
        <v>365</v>
      </c>
      <c r="D39" s="37">
        <v>52</v>
      </c>
      <c r="E39" s="37">
        <v>24</v>
      </c>
      <c r="F39" s="37">
        <v>76</v>
      </c>
      <c r="G39" s="37">
        <v>2118</v>
      </c>
      <c r="H39" s="37">
        <v>1769428</v>
      </c>
      <c r="I39" s="49">
        <v>1.21</v>
      </c>
      <c r="J39" s="50">
        <v>627506</v>
      </c>
      <c r="K39" s="51">
        <v>70000</v>
      </c>
      <c r="L39" s="52">
        <v>697506</v>
      </c>
      <c r="M39" s="51">
        <v>337954</v>
      </c>
      <c r="N39" s="51">
        <v>84488</v>
      </c>
      <c r="O39" s="51">
        <v>707771</v>
      </c>
      <c r="P39" s="39">
        <v>5308284</v>
      </c>
      <c r="Q39" s="39">
        <v>7962426</v>
      </c>
      <c r="R39" s="39">
        <v>11943639</v>
      </c>
      <c r="S39" s="37">
        <v>11000000</v>
      </c>
      <c r="T39" s="37">
        <v>11000000</v>
      </c>
      <c r="U39" s="37">
        <v>9000000</v>
      </c>
      <c r="V39" s="37">
        <v>9000000</v>
      </c>
      <c r="W39" s="37"/>
      <c r="X39" s="37">
        <v>5308284</v>
      </c>
      <c r="Y39" s="37">
        <v>8847140</v>
      </c>
      <c r="Z39" s="37">
        <v>13270710</v>
      </c>
      <c r="AA39" s="41" t="s">
        <v>94</v>
      </c>
      <c r="AB39" s="42" t="s">
        <v>92</v>
      </c>
      <c r="AE39" s="44"/>
      <c r="AF39" s="44"/>
      <c r="AG39" s="44"/>
      <c r="AH39" s="44"/>
      <c r="AI39" s="44"/>
      <c r="AJ39" s="44"/>
      <c r="AK39" s="44"/>
      <c r="AL39" s="44"/>
      <c r="AM39" s="44"/>
    </row>
    <row r="40" spans="1:39" s="43" customFormat="1" ht="32.25" customHeight="1" thickTop="1" thickBot="1">
      <c r="A40" s="35">
        <v>1403</v>
      </c>
      <c r="B40" s="36">
        <v>12</v>
      </c>
      <c r="C40" s="37">
        <v>366</v>
      </c>
      <c r="D40" s="37">
        <v>52</v>
      </c>
      <c r="E40" s="37">
        <v>25</v>
      </c>
      <c r="F40" s="37">
        <v>77</v>
      </c>
      <c r="G40" s="37">
        <v>2118</v>
      </c>
      <c r="H40" s="37">
        <v>2388728</v>
      </c>
      <c r="I40" s="49">
        <v>1.22</v>
      </c>
      <c r="J40" s="50">
        <v>850958</v>
      </c>
      <c r="K40" s="51">
        <v>70000</v>
      </c>
      <c r="L40" s="52">
        <v>920958</v>
      </c>
      <c r="M40" s="51">
        <v>456237</v>
      </c>
      <c r="N40" s="51">
        <v>114059</v>
      </c>
      <c r="O40" s="51">
        <v>955491</v>
      </c>
      <c r="P40" s="39">
        <v>7166184</v>
      </c>
      <c r="Q40" s="39">
        <v>10749276</v>
      </c>
      <c r="R40" s="39">
        <v>16123914</v>
      </c>
      <c r="S40" s="37">
        <v>14000000</v>
      </c>
      <c r="T40" s="37">
        <v>14000000</v>
      </c>
      <c r="U40" s="37">
        <v>9000000</v>
      </c>
      <c r="V40" s="37">
        <v>9000000</v>
      </c>
      <c r="W40" s="37">
        <v>5000000</v>
      </c>
      <c r="X40" s="37">
        <v>7166184</v>
      </c>
      <c r="Y40" s="37">
        <v>11943640</v>
      </c>
      <c r="Z40" s="37">
        <v>17915460</v>
      </c>
      <c r="AA40" s="41" t="s">
        <v>106</v>
      </c>
      <c r="AB40" s="42" t="s">
        <v>93</v>
      </c>
      <c r="AE40" s="44"/>
      <c r="AF40" s="44"/>
      <c r="AG40" s="44"/>
      <c r="AH40" s="44"/>
      <c r="AI40" s="44"/>
      <c r="AJ40" s="44"/>
      <c r="AK40" s="44"/>
      <c r="AL40" s="44"/>
      <c r="AM40" s="44"/>
    </row>
    <row r="41" spans="1:39" s="43" customFormat="1" ht="32.25" customHeight="1" thickTop="1" thickBot="1">
      <c r="A41" s="35">
        <v>1404</v>
      </c>
      <c r="B41" s="36">
        <v>12</v>
      </c>
      <c r="C41" s="37">
        <v>365</v>
      </c>
      <c r="D41" s="37">
        <v>53</v>
      </c>
      <c r="E41" s="37">
        <v>22</v>
      </c>
      <c r="F41" s="37">
        <v>75</v>
      </c>
      <c r="G41" s="37">
        <v>2126</v>
      </c>
      <c r="H41" s="37">
        <v>3463656</v>
      </c>
      <c r="I41" s="49">
        <v>1.32</v>
      </c>
      <c r="J41" s="50">
        <v>1215664</v>
      </c>
      <c r="K41" s="51">
        <v>94000</v>
      </c>
      <c r="L41" s="52">
        <v>1309664</v>
      </c>
      <c r="M41" s="51">
        <v>661544</v>
      </c>
      <c r="N41" s="51">
        <v>165386</v>
      </c>
      <c r="O41" s="51">
        <v>1385462</v>
      </c>
      <c r="P41" s="39">
        <v>10390968</v>
      </c>
      <c r="Q41" s="39">
        <v>15586452</v>
      </c>
      <c r="R41" s="39">
        <v>23379678</v>
      </c>
      <c r="S41" s="37">
        <v>22000000</v>
      </c>
      <c r="T41" s="37">
        <v>22000000</v>
      </c>
      <c r="U41" s="37">
        <v>9000000</v>
      </c>
      <c r="V41" s="37">
        <v>9000000</v>
      </c>
      <c r="W41" s="37">
        <v>5000000</v>
      </c>
      <c r="X41" s="37">
        <v>10390968</v>
      </c>
      <c r="Y41" s="37">
        <v>17318280</v>
      </c>
      <c r="Z41" s="37">
        <v>25977420</v>
      </c>
      <c r="AA41" s="41" t="s">
        <v>107</v>
      </c>
      <c r="AB41" s="42" t="s">
        <v>95</v>
      </c>
      <c r="AE41" s="44"/>
      <c r="AF41" s="44"/>
      <c r="AG41" s="44"/>
      <c r="AH41" s="44"/>
      <c r="AI41" s="44"/>
      <c r="AJ41" s="44"/>
      <c r="AK41" s="44"/>
      <c r="AL41" s="44"/>
      <c r="AM41" s="44"/>
    </row>
    <row r="42" spans="1:39" s="57" customFormat="1" ht="45.75" customHeight="1" thickTop="1" thickBot="1">
      <c r="A42" s="35">
        <v>1405</v>
      </c>
      <c r="B42" s="36">
        <v>12</v>
      </c>
      <c r="C42" s="37">
        <v>365</v>
      </c>
      <c r="D42" s="37">
        <v>52</v>
      </c>
      <c r="E42" s="37">
        <v>23</v>
      </c>
      <c r="F42" s="37">
        <v>75</v>
      </c>
      <c r="G42" s="37">
        <v>2126</v>
      </c>
      <c r="H42" s="37">
        <v>5541850</v>
      </c>
      <c r="I42" s="49">
        <v>1.45</v>
      </c>
      <c r="J42" s="50">
        <v>1899013</v>
      </c>
      <c r="K42" s="51">
        <v>166667</v>
      </c>
      <c r="L42" s="52">
        <v>2065680</v>
      </c>
      <c r="M42" s="51">
        <v>1058471</v>
      </c>
      <c r="N42" s="51">
        <v>264618</v>
      </c>
      <c r="O42" s="51">
        <v>2216740</v>
      </c>
      <c r="P42" s="39">
        <v>16625550</v>
      </c>
      <c r="Q42" s="39">
        <v>24938325</v>
      </c>
      <c r="R42" s="39">
        <v>37407488</v>
      </c>
      <c r="S42" s="37">
        <v>22000000</v>
      </c>
      <c r="T42" s="37">
        <v>22000000</v>
      </c>
      <c r="U42" s="37">
        <v>30000000</v>
      </c>
      <c r="V42" s="37">
        <v>30000000</v>
      </c>
      <c r="W42" s="37">
        <v>5000000</v>
      </c>
      <c r="X42" s="37">
        <v>16625550</v>
      </c>
      <c r="Y42" s="37">
        <v>27709250</v>
      </c>
      <c r="Z42" s="37">
        <v>41563875</v>
      </c>
      <c r="AA42" s="41" t="s">
        <v>96</v>
      </c>
      <c r="AB42" s="41" t="s">
        <v>97</v>
      </c>
      <c r="AC42" s="55"/>
      <c r="AD42" s="55"/>
      <c r="AE42" s="56"/>
      <c r="AF42" s="56"/>
      <c r="AG42" s="56"/>
      <c r="AH42" s="56"/>
      <c r="AI42" s="56"/>
      <c r="AJ42" s="56"/>
      <c r="AK42" s="56"/>
      <c r="AL42" s="56"/>
      <c r="AM42" s="56"/>
    </row>
    <row r="43" spans="1:39" ht="13.8">
      <c r="M43" s="14"/>
      <c r="S43" s="15"/>
      <c r="T43" s="15"/>
      <c r="U43" s="15"/>
      <c r="V43" s="15"/>
      <c r="W43" s="15"/>
      <c r="X43" s="15"/>
      <c r="Y43" s="15"/>
      <c r="Z43" s="15"/>
      <c r="AE43" s="14"/>
      <c r="AF43" s="14"/>
      <c r="AG43" s="14"/>
      <c r="AH43" s="14"/>
      <c r="AI43" s="14"/>
      <c r="AJ43" s="14"/>
      <c r="AK43" s="14"/>
      <c r="AL43" s="14"/>
      <c r="AM43" s="14"/>
    </row>
    <row r="44" spans="1:39" ht="13.8">
      <c r="M44" s="14"/>
      <c r="S44" s="15"/>
      <c r="T44" s="15"/>
      <c r="U44" s="15"/>
      <c r="V44" s="15"/>
      <c r="W44" s="15"/>
      <c r="X44" s="15"/>
      <c r="Y44" s="15"/>
      <c r="Z44" s="15"/>
      <c r="AE44" s="14"/>
      <c r="AF44" s="14"/>
      <c r="AG44" s="14"/>
      <c r="AH44" s="14"/>
      <c r="AI44" s="14"/>
      <c r="AJ44" s="14"/>
      <c r="AK44" s="14"/>
      <c r="AL44" s="14"/>
      <c r="AM44" s="14"/>
    </row>
    <row r="45" spans="1:39" ht="13.8">
      <c r="M45" s="14"/>
      <c r="S45" s="15"/>
      <c r="T45" s="15"/>
      <c r="U45" s="15"/>
      <c r="V45" s="15"/>
      <c r="W45" s="15"/>
      <c r="X45" s="15"/>
      <c r="Y45" s="15"/>
      <c r="Z45" s="15"/>
      <c r="AE45" s="14"/>
      <c r="AF45" s="14"/>
      <c r="AG45" s="14"/>
      <c r="AH45" s="14"/>
      <c r="AI45" s="14"/>
      <c r="AJ45" s="14"/>
      <c r="AK45" s="14"/>
      <c r="AL45" s="14"/>
      <c r="AM45" s="14"/>
    </row>
    <row r="46" spans="1:39" ht="13.8">
      <c r="M46" s="14"/>
      <c r="S46" s="15"/>
      <c r="T46" s="15"/>
      <c r="U46" s="15"/>
      <c r="V46" s="15"/>
      <c r="W46" s="15"/>
      <c r="X46" s="15"/>
      <c r="Y46" s="15"/>
      <c r="Z46" s="15"/>
      <c r="AE46" s="14"/>
      <c r="AF46" s="14"/>
      <c r="AG46" s="14"/>
      <c r="AH46" s="14"/>
      <c r="AI46" s="14"/>
      <c r="AJ46" s="14"/>
      <c r="AK46" s="14"/>
      <c r="AL46" s="14"/>
      <c r="AM46" s="14"/>
    </row>
    <row r="47" spans="1:39" ht="13.8">
      <c r="M47" s="14"/>
      <c r="S47" s="15"/>
      <c r="T47" s="15"/>
      <c r="U47" s="15"/>
      <c r="V47" s="15"/>
      <c r="W47" s="15"/>
      <c r="X47" s="15"/>
      <c r="Y47" s="15"/>
      <c r="Z47" s="15"/>
      <c r="AE47" s="14"/>
      <c r="AF47" s="14"/>
      <c r="AG47" s="14"/>
      <c r="AH47" s="14"/>
      <c r="AI47" s="14"/>
      <c r="AJ47" s="14"/>
      <c r="AK47" s="14"/>
      <c r="AL47" s="14"/>
      <c r="AM47" s="14"/>
    </row>
    <row r="48" spans="1:39" ht="13.8">
      <c r="M48" s="14"/>
      <c r="S48" s="15"/>
      <c r="T48" s="15"/>
      <c r="U48" s="15"/>
      <c r="V48" s="15"/>
      <c r="W48" s="15"/>
      <c r="X48" s="15"/>
      <c r="Y48" s="15"/>
      <c r="Z48" s="15"/>
      <c r="AE48" s="14"/>
      <c r="AF48" s="14"/>
      <c r="AG48" s="14"/>
      <c r="AH48" s="14"/>
      <c r="AI48" s="14"/>
      <c r="AJ48" s="14"/>
      <c r="AK48" s="14"/>
      <c r="AL48" s="14"/>
      <c r="AM48" s="14"/>
    </row>
    <row r="49" spans="13:39" ht="13.8">
      <c r="M49" s="14"/>
      <c r="S49" s="15"/>
      <c r="T49" s="15"/>
      <c r="U49" s="15"/>
      <c r="V49" s="15"/>
      <c r="W49" s="15"/>
      <c r="X49" s="15"/>
      <c r="Y49" s="15"/>
      <c r="Z49" s="15"/>
      <c r="AE49" s="14"/>
      <c r="AF49" s="14"/>
      <c r="AG49" s="14"/>
      <c r="AH49" s="14"/>
      <c r="AI49" s="14"/>
      <c r="AJ49" s="14"/>
      <c r="AK49" s="14"/>
      <c r="AL49" s="14"/>
      <c r="AM49" s="14"/>
    </row>
    <row r="50" spans="13:39" ht="13.8">
      <c r="M50" s="14"/>
      <c r="S50" s="15"/>
      <c r="T50" s="15"/>
      <c r="U50" s="15"/>
      <c r="V50" s="15"/>
      <c r="W50" s="15"/>
      <c r="X50" s="15"/>
      <c r="AE50" s="14"/>
      <c r="AF50" s="14"/>
      <c r="AG50" s="14"/>
      <c r="AH50" s="14"/>
      <c r="AI50" s="14"/>
      <c r="AJ50" s="14"/>
      <c r="AK50" s="14"/>
      <c r="AL50" s="14"/>
      <c r="AM50" s="14"/>
    </row>
    <row r="51" spans="13:39" ht="13.8">
      <c r="M51" s="14"/>
      <c r="S51" s="15"/>
      <c r="T51" s="15"/>
      <c r="U51" s="15"/>
      <c r="V51" s="15"/>
      <c r="W51" s="15"/>
      <c r="X51" s="15"/>
      <c r="Y51" s="15"/>
      <c r="Z51" s="15"/>
      <c r="AE51" s="14"/>
      <c r="AF51" s="14"/>
      <c r="AG51" s="14"/>
      <c r="AH51" s="14"/>
      <c r="AI51" s="14"/>
      <c r="AJ51" s="14"/>
      <c r="AK51" s="14"/>
      <c r="AL51" s="14"/>
      <c r="AM51" s="14"/>
    </row>
    <row r="52" spans="13:39" ht="13.8">
      <c r="M52" s="14"/>
      <c r="S52" s="15"/>
      <c r="T52" s="15"/>
      <c r="U52" s="15"/>
      <c r="V52" s="15"/>
      <c r="W52" s="15"/>
      <c r="X52" s="15"/>
      <c r="Y52" s="15"/>
      <c r="Z52" s="15"/>
      <c r="AE52" s="14"/>
      <c r="AF52" s="14"/>
      <c r="AG52" s="14"/>
      <c r="AH52" s="14"/>
      <c r="AI52" s="14"/>
      <c r="AJ52" s="14"/>
      <c r="AK52" s="14"/>
      <c r="AL52" s="14"/>
      <c r="AM52" s="14"/>
    </row>
    <row r="53" spans="13:39" ht="13.8">
      <c r="M53" s="14"/>
      <c r="S53" s="15"/>
      <c r="T53" s="15"/>
      <c r="U53" s="15"/>
      <c r="V53" s="15"/>
      <c r="W53" s="15"/>
      <c r="X53" s="15"/>
      <c r="Y53" s="15"/>
      <c r="Z53" s="15"/>
      <c r="AE53" s="14"/>
      <c r="AF53" s="14"/>
      <c r="AG53" s="14"/>
      <c r="AH53" s="14"/>
      <c r="AI53" s="14"/>
      <c r="AJ53" s="14"/>
      <c r="AK53" s="14"/>
      <c r="AL53" s="14"/>
      <c r="AM53" s="14"/>
    </row>
    <row r="54" spans="13:39" ht="13.8">
      <c r="M54" s="14"/>
      <c r="S54" s="15"/>
      <c r="T54" s="15"/>
      <c r="U54" s="15"/>
      <c r="V54" s="15"/>
      <c r="W54" s="15"/>
      <c r="X54" s="15"/>
      <c r="Y54" s="15"/>
      <c r="Z54" s="15"/>
      <c r="AE54" s="14"/>
      <c r="AF54" s="14"/>
      <c r="AG54" s="14"/>
      <c r="AH54" s="14"/>
      <c r="AI54" s="14"/>
      <c r="AJ54" s="14"/>
      <c r="AK54" s="14"/>
      <c r="AL54" s="14"/>
      <c r="AM54" s="14"/>
    </row>
    <row r="55" spans="13:39" ht="13.8">
      <c r="M55" s="14"/>
      <c r="S55" s="15"/>
      <c r="T55" s="15"/>
      <c r="U55" s="15"/>
      <c r="V55" s="15"/>
      <c r="W55" s="15"/>
      <c r="X55" s="15"/>
      <c r="Y55" s="15"/>
      <c r="Z55" s="15"/>
      <c r="AE55" s="14"/>
      <c r="AF55" s="14"/>
      <c r="AG55" s="14"/>
      <c r="AH55" s="14"/>
      <c r="AI55" s="14"/>
      <c r="AJ55" s="14"/>
      <c r="AK55" s="14"/>
      <c r="AL55" s="14"/>
      <c r="AM55" s="14"/>
    </row>
    <row r="56" spans="13:39" ht="13.8">
      <c r="M56" s="14"/>
      <c r="S56" s="15"/>
      <c r="T56" s="15"/>
      <c r="U56" s="15"/>
      <c r="V56" s="15"/>
      <c r="W56" s="15"/>
      <c r="X56" s="15"/>
      <c r="Y56" s="15"/>
      <c r="Z56" s="15"/>
      <c r="AE56" s="14"/>
      <c r="AF56" s="14"/>
      <c r="AG56" s="14"/>
      <c r="AH56" s="14"/>
      <c r="AI56" s="14"/>
      <c r="AJ56" s="14"/>
      <c r="AK56" s="14"/>
      <c r="AL56" s="14"/>
      <c r="AM56" s="14"/>
    </row>
    <row r="57" spans="13:39" ht="13.8">
      <c r="M57" s="14"/>
      <c r="S57" s="15"/>
      <c r="T57" s="15"/>
      <c r="U57" s="15"/>
      <c r="V57" s="15"/>
      <c r="W57" s="15"/>
      <c r="X57" s="15"/>
      <c r="Y57" s="15"/>
      <c r="Z57" s="15"/>
      <c r="AE57" s="14"/>
      <c r="AF57" s="14"/>
      <c r="AG57" s="14"/>
      <c r="AH57" s="14"/>
      <c r="AI57" s="14"/>
      <c r="AJ57" s="14"/>
      <c r="AK57" s="14"/>
      <c r="AL57" s="14"/>
      <c r="AM57" s="14"/>
    </row>
    <row r="58" spans="13:39" ht="13.8">
      <c r="M58" s="14"/>
      <c r="S58" s="15"/>
      <c r="T58" s="15"/>
      <c r="U58" s="15"/>
      <c r="V58" s="15"/>
      <c r="W58" s="15"/>
      <c r="X58" s="15"/>
      <c r="Y58" s="15"/>
      <c r="Z58" s="15"/>
      <c r="AE58" s="14"/>
      <c r="AF58" s="14"/>
      <c r="AG58" s="14"/>
      <c r="AH58" s="14"/>
      <c r="AI58" s="14"/>
      <c r="AJ58" s="14"/>
      <c r="AK58" s="14"/>
      <c r="AL58" s="14"/>
      <c r="AM58" s="14"/>
    </row>
    <row r="59" spans="13:39" ht="13.8">
      <c r="M59" s="14"/>
      <c r="S59" s="15"/>
      <c r="T59" s="15"/>
      <c r="U59" s="15"/>
      <c r="V59" s="15"/>
      <c r="W59" s="15"/>
      <c r="X59" s="15"/>
      <c r="Y59" s="15"/>
      <c r="Z59" s="15"/>
      <c r="AE59" s="14"/>
      <c r="AF59" s="14"/>
      <c r="AG59" s="14"/>
      <c r="AH59" s="14"/>
      <c r="AI59" s="14"/>
      <c r="AJ59" s="14"/>
      <c r="AK59" s="14"/>
      <c r="AL59" s="14"/>
      <c r="AM59" s="14"/>
    </row>
    <row r="60" spans="13:39" ht="13.8">
      <c r="M60" s="14"/>
      <c r="S60" s="15"/>
      <c r="T60" s="15"/>
      <c r="U60" s="15"/>
      <c r="V60" s="15"/>
      <c r="W60" s="15"/>
      <c r="X60" s="15"/>
      <c r="Y60" s="15"/>
      <c r="Z60" s="15"/>
      <c r="AE60" s="14"/>
      <c r="AF60" s="14"/>
      <c r="AG60" s="14"/>
      <c r="AH60" s="14"/>
      <c r="AI60" s="14"/>
      <c r="AJ60" s="14"/>
      <c r="AK60" s="14"/>
      <c r="AL60" s="14"/>
      <c r="AM60" s="14"/>
    </row>
    <row r="61" spans="13:39" ht="13.8">
      <c r="M61" s="14"/>
      <c r="S61" s="15"/>
      <c r="T61" s="15"/>
      <c r="U61" s="15"/>
      <c r="V61" s="15"/>
      <c r="W61" s="15"/>
      <c r="X61" s="15"/>
      <c r="Y61" s="15"/>
      <c r="Z61" s="15"/>
      <c r="AE61" s="14"/>
      <c r="AF61" s="14"/>
      <c r="AG61" s="14"/>
      <c r="AH61" s="14"/>
      <c r="AI61" s="14"/>
      <c r="AJ61" s="14"/>
      <c r="AK61" s="14"/>
      <c r="AL61" s="14"/>
      <c r="AM61" s="14"/>
    </row>
    <row r="62" spans="13:39" ht="13.8">
      <c r="S62" s="15"/>
      <c r="T62" s="15"/>
      <c r="U62" s="15"/>
      <c r="V62" s="15"/>
      <c r="W62" s="15"/>
      <c r="X62" s="15"/>
      <c r="Y62" s="15"/>
      <c r="Z62" s="15"/>
      <c r="AE62" s="14"/>
      <c r="AF62" s="14"/>
      <c r="AG62" s="14"/>
      <c r="AH62" s="14"/>
      <c r="AI62" s="14"/>
      <c r="AJ62" s="14"/>
      <c r="AK62" s="14"/>
      <c r="AL62" s="14"/>
      <c r="AM62" s="14"/>
    </row>
    <row r="63" spans="13:39" ht="13.8">
      <c r="S63" s="15"/>
      <c r="T63" s="15"/>
      <c r="U63" s="15"/>
      <c r="V63" s="15"/>
      <c r="W63" s="15"/>
      <c r="X63" s="15"/>
      <c r="Y63" s="15"/>
      <c r="Z63" s="15"/>
      <c r="AE63" s="14"/>
      <c r="AF63" s="14"/>
      <c r="AG63" s="14"/>
      <c r="AH63" s="14"/>
      <c r="AI63" s="14"/>
      <c r="AJ63" s="14"/>
      <c r="AK63" s="14"/>
      <c r="AL63" s="14"/>
      <c r="AM63" s="14"/>
    </row>
    <row r="64" spans="13:39" ht="13.8">
      <c r="S64" s="15"/>
      <c r="T64" s="15"/>
      <c r="U64" s="15"/>
      <c r="V64" s="15"/>
      <c r="W64" s="15"/>
      <c r="X64" s="15"/>
      <c r="Y64" s="15"/>
      <c r="Z64" s="15"/>
      <c r="AE64" s="14"/>
      <c r="AF64" s="14"/>
      <c r="AG64" s="14"/>
      <c r="AH64" s="14"/>
      <c r="AI64" s="14"/>
      <c r="AJ64" s="14"/>
      <c r="AK64" s="14"/>
      <c r="AL64" s="14"/>
      <c r="AM64" s="14"/>
    </row>
    <row r="65" spans="19:39" ht="13.8">
      <c r="S65" s="15"/>
      <c r="T65" s="15"/>
      <c r="U65" s="15"/>
      <c r="V65" s="15"/>
      <c r="W65" s="15"/>
      <c r="X65" s="15"/>
      <c r="Y65" s="15"/>
      <c r="Z65" s="15"/>
      <c r="AE65" s="14"/>
      <c r="AF65" s="14"/>
      <c r="AG65" s="14"/>
      <c r="AH65" s="14"/>
      <c r="AI65" s="14"/>
      <c r="AJ65" s="14"/>
      <c r="AK65" s="14"/>
      <c r="AL65" s="14"/>
      <c r="AM65" s="14"/>
    </row>
    <row r="66" spans="19:39" ht="13.8">
      <c r="S66" s="15"/>
      <c r="T66" s="15"/>
      <c r="U66" s="15"/>
      <c r="V66" s="15"/>
      <c r="W66" s="15"/>
      <c r="X66" s="15"/>
      <c r="Y66" s="15"/>
      <c r="Z66" s="15"/>
      <c r="AE66" s="14"/>
      <c r="AF66" s="14"/>
      <c r="AG66" s="14"/>
      <c r="AH66" s="14"/>
      <c r="AI66" s="14"/>
      <c r="AJ66" s="14"/>
      <c r="AK66" s="14"/>
      <c r="AL66" s="14"/>
      <c r="AM66" s="14"/>
    </row>
    <row r="67" spans="19:39" ht="13.8">
      <c r="S67" s="15"/>
      <c r="T67" s="15"/>
      <c r="U67" s="15"/>
      <c r="V67" s="15"/>
      <c r="W67" s="15"/>
      <c r="X67" s="15"/>
      <c r="Y67" s="15"/>
      <c r="Z67" s="15"/>
      <c r="AE67" s="14"/>
      <c r="AF67" s="14"/>
      <c r="AG67" s="14"/>
      <c r="AH67" s="14"/>
      <c r="AI67" s="14"/>
      <c r="AJ67" s="14"/>
      <c r="AK67" s="14"/>
      <c r="AL67" s="14"/>
      <c r="AM67" s="14"/>
    </row>
    <row r="68" spans="19:39" ht="13.8">
      <c r="S68" s="15"/>
      <c r="T68" s="15"/>
      <c r="U68" s="15"/>
      <c r="V68" s="15"/>
      <c r="W68" s="15"/>
      <c r="X68" s="15"/>
      <c r="Y68" s="15"/>
      <c r="Z68" s="15"/>
      <c r="AE68" s="14"/>
      <c r="AF68" s="14"/>
      <c r="AG68" s="14"/>
      <c r="AH68" s="14"/>
      <c r="AI68" s="14"/>
      <c r="AJ68" s="14"/>
      <c r="AK68" s="14"/>
      <c r="AL68" s="14"/>
      <c r="AM68" s="14"/>
    </row>
    <row r="69" spans="19:39" ht="13.8">
      <c r="S69" s="15"/>
      <c r="T69" s="15"/>
      <c r="U69" s="15"/>
      <c r="V69" s="15"/>
      <c r="W69" s="15"/>
      <c r="X69" s="15"/>
      <c r="Y69" s="15"/>
      <c r="Z69" s="15"/>
      <c r="AE69" s="14"/>
      <c r="AF69" s="14"/>
      <c r="AG69" s="14"/>
      <c r="AH69" s="14"/>
      <c r="AI69" s="14"/>
      <c r="AJ69" s="14"/>
      <c r="AK69" s="14"/>
      <c r="AL69" s="14"/>
      <c r="AM69" s="14"/>
    </row>
    <row r="70" spans="19:39" ht="13.8">
      <c r="S70" s="15"/>
      <c r="T70" s="15"/>
      <c r="U70" s="15"/>
      <c r="V70" s="15"/>
      <c r="W70" s="15"/>
      <c r="X70" s="15"/>
      <c r="Y70" s="15"/>
      <c r="Z70" s="15"/>
      <c r="AE70" s="14"/>
      <c r="AF70" s="14"/>
      <c r="AG70" s="14"/>
      <c r="AH70" s="14"/>
      <c r="AI70" s="14"/>
      <c r="AJ70" s="14"/>
      <c r="AK70" s="14"/>
      <c r="AL70" s="14"/>
      <c r="AM70" s="14"/>
    </row>
    <row r="71" spans="19:39" ht="13.8">
      <c r="S71" s="15"/>
      <c r="T71" s="15"/>
      <c r="U71" s="15"/>
      <c r="V71" s="15"/>
      <c r="W71" s="15"/>
      <c r="X71" s="15"/>
      <c r="Y71" s="15"/>
      <c r="Z71" s="15"/>
      <c r="AE71" s="14"/>
      <c r="AF71" s="14"/>
      <c r="AG71" s="14"/>
      <c r="AH71" s="14"/>
      <c r="AI71" s="14"/>
      <c r="AJ71" s="14"/>
      <c r="AK71" s="14"/>
      <c r="AL71" s="14"/>
      <c r="AM71" s="14"/>
    </row>
    <row r="72" spans="19:39" ht="13.8">
      <c r="S72" s="15"/>
      <c r="T72" s="15"/>
      <c r="U72" s="15"/>
      <c r="V72" s="15"/>
      <c r="W72" s="15"/>
      <c r="X72" s="15"/>
      <c r="Y72" s="15"/>
      <c r="Z72" s="15"/>
      <c r="AE72" s="14"/>
      <c r="AF72" s="14"/>
      <c r="AG72" s="14"/>
      <c r="AH72" s="14"/>
      <c r="AI72" s="14"/>
      <c r="AJ72" s="14"/>
      <c r="AK72" s="14"/>
      <c r="AL72" s="14"/>
      <c r="AM72" s="14"/>
    </row>
    <row r="73" spans="19:39" ht="13.8">
      <c r="S73" s="15"/>
      <c r="T73" s="15"/>
      <c r="U73" s="15"/>
      <c r="V73" s="15"/>
      <c r="W73" s="15"/>
      <c r="X73" s="15"/>
      <c r="Y73" s="15"/>
      <c r="Z73" s="15"/>
      <c r="AE73" s="14"/>
      <c r="AF73" s="14"/>
      <c r="AG73" s="14"/>
      <c r="AH73" s="14"/>
      <c r="AI73" s="14"/>
      <c r="AJ73" s="14"/>
      <c r="AK73" s="14"/>
      <c r="AL73" s="14"/>
      <c r="AM73" s="14"/>
    </row>
    <row r="74" spans="19:39" ht="13.8">
      <c r="S74" s="15"/>
      <c r="T74" s="15"/>
      <c r="U74" s="15"/>
      <c r="V74" s="15"/>
      <c r="W74" s="15"/>
      <c r="X74" s="15"/>
      <c r="Y74" s="15"/>
      <c r="Z74" s="15"/>
      <c r="AE74" s="14"/>
      <c r="AF74" s="14"/>
      <c r="AG74" s="14"/>
      <c r="AH74" s="14"/>
      <c r="AI74" s="14"/>
      <c r="AJ74" s="14"/>
      <c r="AK74" s="14"/>
      <c r="AL74" s="14"/>
      <c r="AM74" s="14"/>
    </row>
    <row r="75" spans="19:39" ht="13.8">
      <c r="S75" s="15"/>
      <c r="T75" s="15"/>
      <c r="U75" s="15"/>
      <c r="V75" s="15"/>
      <c r="W75" s="15"/>
      <c r="X75" s="15"/>
      <c r="Y75" s="15"/>
      <c r="Z75" s="15"/>
      <c r="AE75" s="14"/>
      <c r="AF75" s="14"/>
      <c r="AG75" s="14"/>
      <c r="AH75" s="14"/>
      <c r="AI75" s="14"/>
      <c r="AJ75" s="14"/>
      <c r="AK75" s="14"/>
      <c r="AL75" s="14"/>
      <c r="AM75" s="14"/>
    </row>
    <row r="76" spans="19:39" ht="13.8">
      <c r="S76" s="15"/>
      <c r="T76" s="15"/>
      <c r="U76" s="15"/>
      <c r="V76" s="15"/>
      <c r="W76" s="15"/>
      <c r="X76" s="15"/>
      <c r="Y76" s="15"/>
      <c r="Z76" s="15"/>
      <c r="AE76" s="14"/>
      <c r="AF76" s="14"/>
      <c r="AG76" s="14"/>
      <c r="AH76" s="14"/>
      <c r="AI76" s="14"/>
      <c r="AJ76" s="14"/>
      <c r="AK76" s="14"/>
      <c r="AL76" s="14"/>
      <c r="AM76" s="14"/>
    </row>
    <row r="77" spans="19:39" ht="13.8">
      <c r="S77" s="15"/>
      <c r="T77" s="15"/>
      <c r="U77" s="15"/>
      <c r="V77" s="15"/>
      <c r="W77" s="15"/>
      <c r="X77" s="15"/>
      <c r="Y77" s="15"/>
      <c r="Z77" s="15"/>
      <c r="AE77" s="14"/>
      <c r="AF77" s="14"/>
      <c r="AG77" s="14"/>
      <c r="AH77" s="14"/>
      <c r="AI77" s="14"/>
      <c r="AJ77" s="14"/>
      <c r="AK77" s="14"/>
      <c r="AL77" s="14"/>
      <c r="AM77" s="14"/>
    </row>
    <row r="78" spans="19:39" ht="13.8">
      <c r="S78" s="15"/>
      <c r="T78" s="15"/>
      <c r="U78" s="15"/>
      <c r="V78" s="15"/>
      <c r="W78" s="15"/>
      <c r="X78" s="15"/>
      <c r="Y78" s="15"/>
      <c r="Z78" s="15"/>
      <c r="AE78" s="14"/>
      <c r="AF78" s="14"/>
      <c r="AG78" s="14"/>
      <c r="AH78" s="14"/>
      <c r="AI78" s="14"/>
      <c r="AJ78" s="14"/>
      <c r="AK78" s="14"/>
      <c r="AL78" s="14"/>
      <c r="AM78" s="14"/>
    </row>
    <row r="79" spans="19:39" ht="13.8">
      <c r="S79" s="15"/>
      <c r="T79" s="15"/>
      <c r="U79" s="15"/>
      <c r="V79" s="15"/>
      <c r="W79" s="15"/>
      <c r="X79" s="15"/>
      <c r="Y79" s="15"/>
      <c r="Z79" s="15"/>
      <c r="AE79" s="14"/>
      <c r="AF79" s="14"/>
      <c r="AG79" s="14"/>
      <c r="AH79" s="14"/>
      <c r="AI79" s="14"/>
      <c r="AJ79" s="14"/>
      <c r="AK79" s="14"/>
      <c r="AL79" s="14"/>
      <c r="AM79" s="14"/>
    </row>
    <row r="80" spans="19:39" ht="13.8">
      <c r="S80" s="15"/>
      <c r="T80" s="15"/>
      <c r="U80" s="15"/>
      <c r="V80" s="15"/>
      <c r="W80" s="15"/>
      <c r="X80" s="15"/>
      <c r="Y80" s="15"/>
      <c r="Z80" s="15"/>
      <c r="AE80" s="14"/>
      <c r="AF80" s="14"/>
      <c r="AG80" s="14"/>
      <c r="AH80" s="14"/>
      <c r="AI80" s="14"/>
      <c r="AJ80" s="14"/>
      <c r="AK80" s="14"/>
      <c r="AL80" s="14"/>
      <c r="AM80" s="14"/>
    </row>
    <row r="81" spans="19:39" ht="13.8">
      <c r="S81" s="15"/>
      <c r="T81" s="15"/>
      <c r="U81" s="15"/>
      <c r="V81" s="15"/>
      <c r="W81" s="15"/>
      <c r="X81" s="15"/>
      <c r="Y81" s="15"/>
      <c r="Z81" s="15"/>
      <c r="AE81" s="14"/>
      <c r="AF81" s="14"/>
      <c r="AG81" s="14"/>
      <c r="AH81" s="14"/>
      <c r="AI81" s="14"/>
      <c r="AJ81" s="14"/>
      <c r="AK81" s="14"/>
      <c r="AL81" s="14"/>
      <c r="AM81" s="14"/>
    </row>
    <row r="82" spans="19:39" ht="13.8">
      <c r="S82" s="15"/>
      <c r="T82" s="15"/>
      <c r="U82" s="15"/>
      <c r="V82" s="15"/>
      <c r="W82" s="15"/>
      <c r="X82" s="15"/>
      <c r="Y82" s="15"/>
      <c r="Z82" s="15"/>
      <c r="AE82" s="14"/>
      <c r="AF82" s="14"/>
      <c r="AG82" s="14"/>
      <c r="AH82" s="14"/>
      <c r="AI82" s="14"/>
      <c r="AJ82" s="14"/>
      <c r="AK82" s="14"/>
      <c r="AL82" s="14"/>
      <c r="AM82" s="14"/>
    </row>
    <row r="83" spans="19:39" ht="13.8">
      <c r="S83" s="15"/>
      <c r="T83" s="15"/>
      <c r="U83" s="15"/>
      <c r="V83" s="15"/>
      <c r="W83" s="15"/>
      <c r="X83" s="15"/>
      <c r="Y83" s="15"/>
      <c r="Z83" s="15"/>
      <c r="AE83" s="14"/>
      <c r="AF83" s="14"/>
      <c r="AG83" s="14"/>
      <c r="AH83" s="14"/>
      <c r="AI83" s="14"/>
      <c r="AJ83" s="14"/>
      <c r="AK83" s="14"/>
      <c r="AL83" s="14"/>
      <c r="AM83" s="14"/>
    </row>
    <row r="84" spans="19:39" ht="13.8">
      <c r="S84" s="15"/>
      <c r="T84" s="15"/>
      <c r="U84" s="15"/>
      <c r="V84" s="15"/>
      <c r="W84" s="15"/>
      <c r="X84" s="15"/>
      <c r="Y84" s="15"/>
      <c r="Z84" s="15"/>
      <c r="AE84" s="14"/>
      <c r="AF84" s="14"/>
      <c r="AG84" s="14"/>
      <c r="AH84" s="14"/>
      <c r="AI84" s="14"/>
      <c r="AJ84" s="14"/>
      <c r="AK84" s="14"/>
      <c r="AL84" s="14"/>
      <c r="AM84" s="14"/>
    </row>
    <row r="85" spans="19:39" ht="13.8">
      <c r="S85" s="15"/>
      <c r="T85" s="15"/>
      <c r="U85" s="15"/>
      <c r="V85" s="15"/>
      <c r="W85" s="15"/>
      <c r="X85" s="15"/>
      <c r="Y85" s="15"/>
      <c r="Z85" s="15"/>
      <c r="AE85" s="14"/>
      <c r="AF85" s="14"/>
      <c r="AG85" s="14"/>
      <c r="AH85" s="14"/>
      <c r="AI85" s="14"/>
      <c r="AJ85" s="14"/>
      <c r="AK85" s="14"/>
      <c r="AL85" s="14"/>
      <c r="AM85" s="14"/>
    </row>
    <row r="86" spans="19:39" ht="13.8">
      <c r="S86" s="15"/>
      <c r="T86" s="15"/>
      <c r="U86" s="15"/>
      <c r="V86" s="15"/>
      <c r="W86" s="15"/>
      <c r="X86" s="15"/>
      <c r="Y86" s="15"/>
      <c r="Z86" s="15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19:39" ht="13.8">
      <c r="S87" s="15"/>
      <c r="T87" s="15"/>
      <c r="U87" s="15"/>
      <c r="V87" s="15"/>
      <c r="W87" s="15"/>
      <c r="X87" s="15"/>
      <c r="Y87" s="15"/>
      <c r="Z87" s="15"/>
      <c r="AE87" s="14"/>
      <c r="AF87" s="14"/>
      <c r="AG87" s="14"/>
      <c r="AH87" s="14"/>
      <c r="AI87" s="14"/>
      <c r="AJ87" s="14"/>
      <c r="AK87" s="14"/>
      <c r="AL87" s="14"/>
      <c r="AM87" s="14"/>
    </row>
    <row r="88" spans="19:39" ht="13.8">
      <c r="S88" s="15"/>
      <c r="T88" s="15"/>
      <c r="U88" s="15"/>
      <c r="V88" s="15"/>
      <c r="W88" s="15"/>
      <c r="X88" s="15"/>
      <c r="Y88" s="15"/>
      <c r="Z88" s="15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19:39" ht="13.8">
      <c r="S89" s="15"/>
      <c r="T89" s="15"/>
      <c r="U89" s="15"/>
      <c r="V89" s="15"/>
      <c r="W89" s="15"/>
      <c r="X89" s="15"/>
      <c r="Y89" s="15"/>
      <c r="Z89" s="15"/>
      <c r="AE89" s="14"/>
      <c r="AF89" s="14"/>
      <c r="AG89" s="14"/>
      <c r="AH89" s="14"/>
      <c r="AI89" s="14"/>
      <c r="AJ89" s="14"/>
      <c r="AK89" s="14"/>
      <c r="AL89" s="14"/>
      <c r="AM89" s="14"/>
    </row>
    <row r="90" spans="19:39" ht="13.8">
      <c r="S90" s="15"/>
      <c r="T90" s="15"/>
      <c r="U90" s="15"/>
      <c r="V90" s="15"/>
      <c r="W90" s="15"/>
      <c r="X90" s="15"/>
      <c r="Y90" s="15"/>
      <c r="Z90" s="15"/>
      <c r="AE90" s="14"/>
      <c r="AF90" s="14"/>
      <c r="AG90" s="14"/>
      <c r="AH90" s="14"/>
      <c r="AI90" s="14"/>
      <c r="AJ90" s="14"/>
      <c r="AK90" s="14"/>
      <c r="AL90" s="14"/>
      <c r="AM90" s="14"/>
    </row>
    <row r="91" spans="19:39" ht="13.8">
      <c r="S91" s="15"/>
      <c r="T91" s="15"/>
      <c r="U91" s="15"/>
      <c r="V91" s="15"/>
      <c r="W91" s="15"/>
      <c r="X91" s="15"/>
      <c r="Y91" s="15"/>
      <c r="Z91" s="15"/>
      <c r="AE91" s="14"/>
      <c r="AF91" s="14"/>
      <c r="AG91" s="14"/>
      <c r="AH91" s="14"/>
      <c r="AI91" s="14"/>
      <c r="AJ91" s="14"/>
      <c r="AK91" s="14"/>
      <c r="AL91" s="14"/>
      <c r="AM91" s="14"/>
    </row>
    <row r="92" spans="19:39" ht="13.8">
      <c r="S92" s="15"/>
      <c r="T92" s="15"/>
      <c r="U92" s="15"/>
      <c r="V92" s="15"/>
      <c r="W92" s="15"/>
      <c r="X92" s="15"/>
      <c r="Y92" s="15"/>
      <c r="Z92" s="15"/>
      <c r="AE92" s="14"/>
      <c r="AF92" s="14"/>
      <c r="AG92" s="14"/>
      <c r="AH92" s="14"/>
      <c r="AI92" s="14"/>
      <c r="AJ92" s="14"/>
      <c r="AK92" s="14"/>
      <c r="AL92" s="14"/>
      <c r="AM92" s="14"/>
    </row>
    <row r="93" spans="19:39" ht="13.8">
      <c r="S93" s="15"/>
      <c r="T93" s="15"/>
      <c r="U93" s="15"/>
      <c r="V93" s="15"/>
      <c r="W93" s="15"/>
      <c r="X93" s="15"/>
      <c r="Y93" s="15"/>
      <c r="Z93" s="15"/>
      <c r="AE93" s="14"/>
      <c r="AF93" s="14"/>
      <c r="AG93" s="14"/>
      <c r="AH93" s="14"/>
      <c r="AI93" s="14"/>
      <c r="AJ93" s="14"/>
      <c r="AK93" s="14"/>
      <c r="AL93" s="14"/>
      <c r="AM93" s="14"/>
    </row>
    <row r="94" spans="19:39" ht="13.8">
      <c r="S94" s="15"/>
      <c r="T94" s="15"/>
      <c r="U94" s="15"/>
      <c r="V94" s="15"/>
      <c r="W94" s="15"/>
      <c r="X94" s="15"/>
      <c r="Y94" s="15"/>
      <c r="Z94" s="15"/>
      <c r="AE94" s="14"/>
      <c r="AF94" s="14"/>
      <c r="AG94" s="14"/>
      <c r="AH94" s="14"/>
      <c r="AI94" s="14"/>
      <c r="AJ94" s="14"/>
      <c r="AK94" s="14"/>
      <c r="AL94" s="14"/>
      <c r="AM94" s="14"/>
    </row>
    <row r="95" spans="19:39" ht="13.8">
      <c r="S95" s="15"/>
      <c r="T95" s="15"/>
      <c r="U95" s="15"/>
      <c r="V95" s="15"/>
      <c r="W95" s="15"/>
      <c r="X95" s="15"/>
      <c r="Y95" s="15"/>
      <c r="Z95" s="15"/>
      <c r="AE95" s="14"/>
      <c r="AF95" s="14"/>
      <c r="AG95" s="14"/>
      <c r="AH95" s="14"/>
      <c r="AI95" s="14"/>
      <c r="AJ95" s="14"/>
      <c r="AK95" s="14"/>
      <c r="AL95" s="14"/>
      <c r="AM95" s="14"/>
    </row>
    <row r="96" spans="19:39" ht="13.8">
      <c r="S96" s="15"/>
      <c r="T96" s="15"/>
      <c r="U96" s="15"/>
      <c r="V96" s="15"/>
      <c r="W96" s="15"/>
      <c r="X96" s="15"/>
      <c r="Y96" s="15"/>
      <c r="Z96" s="15"/>
      <c r="AE96" s="14"/>
      <c r="AF96" s="14"/>
      <c r="AG96" s="14"/>
      <c r="AH96" s="14"/>
      <c r="AI96" s="14"/>
      <c r="AJ96" s="14"/>
      <c r="AK96" s="14"/>
      <c r="AL96" s="14"/>
      <c r="AM96" s="14"/>
    </row>
    <row r="97" spans="19:39" ht="13.8">
      <c r="S97" s="15"/>
      <c r="T97" s="15"/>
      <c r="U97" s="15"/>
      <c r="V97" s="15"/>
      <c r="W97" s="15"/>
      <c r="X97" s="15"/>
      <c r="Y97" s="15"/>
      <c r="Z97" s="15"/>
      <c r="AE97" s="14"/>
      <c r="AF97" s="14"/>
      <c r="AG97" s="14"/>
      <c r="AH97" s="14"/>
      <c r="AI97" s="14"/>
      <c r="AJ97" s="14"/>
      <c r="AK97" s="14"/>
      <c r="AL97" s="14"/>
      <c r="AM97" s="14"/>
    </row>
    <row r="98" spans="19:39" ht="13.8">
      <c r="S98" s="15"/>
      <c r="T98" s="15"/>
      <c r="U98" s="15"/>
      <c r="V98" s="15"/>
      <c r="W98" s="15"/>
      <c r="X98" s="15"/>
      <c r="Y98" s="15"/>
      <c r="Z98" s="15"/>
      <c r="AE98" s="14"/>
      <c r="AF98" s="14"/>
      <c r="AG98" s="14"/>
      <c r="AH98" s="14"/>
      <c r="AI98" s="14"/>
      <c r="AJ98" s="14"/>
      <c r="AK98" s="14"/>
      <c r="AL98" s="14"/>
      <c r="AM98" s="14"/>
    </row>
    <row r="99" spans="19:39" ht="13.8">
      <c r="S99" s="15"/>
      <c r="T99" s="15"/>
      <c r="U99" s="15"/>
      <c r="V99" s="15"/>
      <c r="W99" s="15"/>
      <c r="X99" s="15"/>
      <c r="Y99" s="15"/>
      <c r="Z99" s="15"/>
      <c r="AE99" s="14"/>
      <c r="AF99" s="14"/>
      <c r="AG99" s="14"/>
      <c r="AH99" s="14"/>
      <c r="AI99" s="14"/>
      <c r="AJ99" s="14"/>
      <c r="AK99" s="14"/>
      <c r="AL99" s="14"/>
      <c r="AM99" s="14"/>
    </row>
    <row r="100" spans="19:39" ht="13.8">
      <c r="S100" s="15"/>
      <c r="T100" s="15"/>
      <c r="U100" s="15"/>
      <c r="V100" s="15"/>
      <c r="W100" s="15"/>
      <c r="X100" s="15"/>
      <c r="Y100" s="15"/>
      <c r="Z100" s="15"/>
      <c r="AE100" s="14"/>
      <c r="AF100" s="14"/>
      <c r="AG100" s="14"/>
      <c r="AH100" s="14"/>
      <c r="AI100" s="14"/>
      <c r="AJ100" s="14"/>
      <c r="AK100" s="14"/>
      <c r="AL100" s="14"/>
      <c r="AM100" s="14"/>
    </row>
    <row r="101" spans="19:39" ht="13.8">
      <c r="S101" s="15"/>
      <c r="T101" s="15"/>
      <c r="U101" s="15"/>
      <c r="V101" s="15"/>
      <c r="W101" s="15"/>
      <c r="X101" s="15"/>
      <c r="Y101" s="15"/>
      <c r="Z101" s="15"/>
      <c r="AE101" s="14"/>
      <c r="AF101" s="14"/>
      <c r="AG101" s="14"/>
      <c r="AH101" s="14"/>
      <c r="AI101" s="14"/>
      <c r="AJ101" s="14"/>
      <c r="AK101" s="14"/>
      <c r="AL101" s="14"/>
      <c r="AM101" s="14"/>
    </row>
    <row r="102" spans="19:39" ht="13.8">
      <c r="S102" s="15"/>
      <c r="T102" s="15"/>
      <c r="U102" s="15"/>
      <c r="V102" s="15"/>
      <c r="W102" s="15"/>
      <c r="X102" s="15"/>
      <c r="Y102" s="15"/>
      <c r="Z102" s="15"/>
      <c r="AE102" s="14"/>
      <c r="AF102" s="14"/>
      <c r="AG102" s="14"/>
      <c r="AH102" s="14"/>
      <c r="AI102" s="14"/>
      <c r="AJ102" s="14"/>
      <c r="AK102" s="14"/>
      <c r="AL102" s="14"/>
      <c r="AM102" s="14"/>
    </row>
    <row r="103" spans="19:39" ht="13.8">
      <c r="S103" s="15"/>
      <c r="T103" s="15"/>
      <c r="U103" s="15"/>
      <c r="V103" s="15"/>
      <c r="W103" s="15"/>
      <c r="X103" s="15"/>
      <c r="Y103" s="15"/>
      <c r="Z103" s="15"/>
      <c r="AE103" s="14"/>
      <c r="AF103" s="14"/>
      <c r="AG103" s="14"/>
      <c r="AH103" s="14"/>
      <c r="AI103" s="14"/>
      <c r="AJ103" s="14"/>
      <c r="AK103" s="14"/>
      <c r="AL103" s="14"/>
      <c r="AM103" s="14"/>
    </row>
    <row r="104" spans="19:39" ht="13.8">
      <c r="S104" s="15"/>
      <c r="T104" s="15"/>
      <c r="U104" s="15"/>
      <c r="V104" s="15"/>
      <c r="W104" s="15"/>
      <c r="X104" s="15"/>
      <c r="Y104" s="15"/>
      <c r="Z104" s="15"/>
      <c r="AE104" s="14"/>
      <c r="AF104" s="14"/>
      <c r="AG104" s="14"/>
      <c r="AH104" s="14"/>
      <c r="AI104" s="14"/>
      <c r="AJ104" s="14"/>
      <c r="AK104" s="14"/>
      <c r="AL104" s="14"/>
      <c r="AM104" s="14"/>
    </row>
    <row r="105" spans="19:39" ht="13.8">
      <c r="S105" s="15"/>
      <c r="T105" s="15"/>
      <c r="U105" s="15"/>
      <c r="V105" s="15"/>
      <c r="W105" s="15"/>
      <c r="X105" s="15"/>
      <c r="Y105" s="15"/>
      <c r="Z105" s="15"/>
      <c r="AE105" s="14"/>
      <c r="AF105" s="14"/>
      <c r="AG105" s="14"/>
      <c r="AH105" s="14"/>
      <c r="AI105" s="14"/>
      <c r="AJ105" s="14"/>
      <c r="AK105" s="14"/>
      <c r="AL105" s="14"/>
      <c r="AM105" s="14"/>
    </row>
    <row r="106" spans="19:39" ht="13.8">
      <c r="S106" s="15"/>
      <c r="T106" s="15"/>
      <c r="U106" s="15"/>
      <c r="V106" s="15"/>
      <c r="W106" s="15"/>
      <c r="X106" s="15"/>
      <c r="Y106" s="15"/>
      <c r="Z106" s="15"/>
      <c r="AE106" s="14"/>
      <c r="AF106" s="14"/>
      <c r="AG106" s="14"/>
      <c r="AH106" s="14"/>
      <c r="AI106" s="14"/>
      <c r="AJ106" s="14"/>
      <c r="AK106" s="14"/>
      <c r="AL106" s="14"/>
      <c r="AM106" s="14"/>
    </row>
    <row r="107" spans="19:39" ht="13.8">
      <c r="S107" s="15"/>
      <c r="T107" s="15"/>
      <c r="U107" s="15"/>
      <c r="V107" s="15"/>
      <c r="W107" s="15"/>
      <c r="X107" s="15"/>
      <c r="Y107" s="15"/>
      <c r="Z107" s="15"/>
      <c r="AE107" s="14"/>
      <c r="AF107" s="14"/>
      <c r="AG107" s="14"/>
      <c r="AH107" s="14"/>
      <c r="AI107" s="14"/>
      <c r="AJ107" s="14"/>
      <c r="AK107" s="14"/>
      <c r="AL107" s="14"/>
      <c r="AM107" s="14"/>
    </row>
    <row r="108" spans="19:39" ht="13.8">
      <c r="S108" s="15"/>
      <c r="T108" s="15"/>
      <c r="U108" s="15"/>
      <c r="V108" s="15"/>
      <c r="W108" s="15"/>
      <c r="X108" s="15"/>
      <c r="Y108" s="15"/>
      <c r="Z108" s="15"/>
      <c r="AE108" s="14"/>
      <c r="AF108" s="14"/>
      <c r="AG108" s="14"/>
      <c r="AH108" s="14"/>
      <c r="AI108" s="14"/>
      <c r="AJ108" s="14"/>
      <c r="AK108" s="14"/>
      <c r="AL108" s="14"/>
      <c r="AM108" s="14"/>
    </row>
    <row r="109" spans="19:39" ht="13.8">
      <c r="S109" s="15"/>
      <c r="T109" s="15"/>
      <c r="U109" s="15"/>
      <c r="V109" s="15"/>
      <c r="W109" s="15"/>
      <c r="X109" s="15"/>
      <c r="Y109" s="15"/>
      <c r="Z109" s="15"/>
      <c r="AE109" s="14"/>
      <c r="AF109" s="14"/>
      <c r="AG109" s="14"/>
      <c r="AH109" s="14"/>
      <c r="AI109" s="14"/>
      <c r="AJ109" s="14"/>
      <c r="AK109" s="14"/>
      <c r="AL109" s="14"/>
      <c r="AM109" s="14"/>
    </row>
    <row r="110" spans="19:39" ht="13.8">
      <c r="S110" s="15"/>
      <c r="T110" s="15"/>
      <c r="U110" s="15"/>
      <c r="V110" s="15"/>
      <c r="W110" s="15"/>
      <c r="X110" s="15"/>
      <c r="Y110" s="15"/>
      <c r="Z110" s="15"/>
      <c r="AE110" s="14"/>
      <c r="AF110" s="14"/>
      <c r="AG110" s="14"/>
      <c r="AH110" s="14"/>
      <c r="AI110" s="14"/>
      <c r="AJ110" s="14"/>
      <c r="AK110" s="14"/>
      <c r="AL110" s="14"/>
      <c r="AM110" s="14"/>
    </row>
    <row r="111" spans="19:39" ht="13.8">
      <c r="S111" s="15"/>
      <c r="T111" s="15"/>
      <c r="U111" s="15"/>
      <c r="V111" s="15"/>
      <c r="W111" s="15"/>
      <c r="X111" s="15"/>
      <c r="Y111" s="15"/>
      <c r="Z111" s="15"/>
      <c r="AE111" s="14"/>
      <c r="AF111" s="14"/>
      <c r="AG111" s="14"/>
      <c r="AH111" s="14"/>
      <c r="AI111" s="14"/>
      <c r="AJ111" s="14"/>
      <c r="AK111" s="14"/>
      <c r="AL111" s="14"/>
      <c r="AM111" s="14"/>
    </row>
    <row r="112" spans="19:39" ht="13.8">
      <c r="S112" s="15"/>
      <c r="T112" s="15"/>
      <c r="U112" s="15"/>
      <c r="V112" s="15"/>
      <c r="W112" s="15"/>
      <c r="X112" s="15"/>
      <c r="Y112" s="15"/>
      <c r="Z112" s="15"/>
      <c r="AE112" s="14"/>
      <c r="AF112" s="14"/>
      <c r="AG112" s="14"/>
      <c r="AH112" s="14"/>
      <c r="AI112" s="14"/>
      <c r="AJ112" s="14"/>
      <c r="AK112" s="14"/>
      <c r="AL112" s="14"/>
      <c r="AM112" s="14"/>
    </row>
    <row r="113" spans="19:39" ht="13.8">
      <c r="S113" s="15"/>
      <c r="T113" s="15"/>
      <c r="U113" s="15"/>
      <c r="V113" s="15"/>
      <c r="W113" s="15"/>
      <c r="X113" s="15"/>
      <c r="Y113" s="15"/>
      <c r="Z113" s="15"/>
      <c r="AE113" s="14"/>
      <c r="AF113" s="14"/>
      <c r="AG113" s="14"/>
      <c r="AH113" s="14"/>
      <c r="AI113" s="14"/>
      <c r="AJ113" s="14"/>
      <c r="AK113" s="14"/>
      <c r="AL113" s="14"/>
      <c r="AM113" s="14"/>
    </row>
    <row r="114" spans="19:39" ht="13.8">
      <c r="S114" s="15"/>
      <c r="T114" s="15"/>
      <c r="U114" s="15"/>
      <c r="V114" s="15"/>
      <c r="W114" s="15"/>
      <c r="X114" s="15"/>
      <c r="Y114" s="15"/>
      <c r="Z114" s="15"/>
      <c r="AE114" s="14"/>
      <c r="AF114" s="14"/>
      <c r="AG114" s="14"/>
      <c r="AH114" s="14"/>
      <c r="AI114" s="14"/>
      <c r="AJ114" s="14"/>
      <c r="AK114" s="14"/>
      <c r="AL114" s="14"/>
      <c r="AM114" s="14"/>
    </row>
    <row r="115" spans="19:39" ht="13.8">
      <c r="S115" s="15"/>
      <c r="T115" s="15"/>
      <c r="U115" s="15"/>
      <c r="V115" s="15"/>
      <c r="W115" s="15"/>
      <c r="X115" s="15"/>
      <c r="Y115" s="15"/>
      <c r="Z115" s="15"/>
      <c r="AE115" s="14"/>
      <c r="AF115" s="14"/>
      <c r="AG115" s="14"/>
      <c r="AH115" s="14"/>
      <c r="AI115" s="14"/>
      <c r="AJ115" s="14"/>
      <c r="AK115" s="14"/>
      <c r="AL115" s="14"/>
      <c r="AM115" s="14"/>
    </row>
    <row r="116" spans="19:39" ht="13.8">
      <c r="S116" s="15"/>
      <c r="T116" s="15"/>
      <c r="U116" s="15"/>
      <c r="V116" s="15"/>
      <c r="W116" s="15"/>
      <c r="X116" s="15"/>
      <c r="Y116" s="15"/>
      <c r="Z116" s="15"/>
      <c r="AE116" s="14"/>
      <c r="AF116" s="14"/>
      <c r="AG116" s="14"/>
      <c r="AH116" s="14"/>
      <c r="AI116" s="14"/>
      <c r="AJ116" s="14"/>
      <c r="AK116" s="14"/>
      <c r="AL116" s="14"/>
      <c r="AM116" s="14"/>
    </row>
    <row r="117" spans="19:39" ht="13.8">
      <c r="S117" s="15"/>
      <c r="T117" s="15"/>
      <c r="U117" s="15"/>
      <c r="V117" s="15"/>
      <c r="W117" s="15"/>
      <c r="X117" s="15"/>
      <c r="Y117" s="15"/>
      <c r="Z117" s="15"/>
      <c r="AE117" s="14"/>
      <c r="AF117" s="14"/>
      <c r="AG117" s="14"/>
      <c r="AH117" s="14"/>
      <c r="AI117" s="14"/>
      <c r="AJ117" s="14"/>
      <c r="AK117" s="14"/>
      <c r="AL117" s="14"/>
      <c r="AM117" s="14"/>
    </row>
    <row r="118" spans="19:39" ht="13.8">
      <c r="S118" s="15"/>
      <c r="T118" s="15"/>
      <c r="U118" s="15"/>
      <c r="V118" s="15"/>
      <c r="W118" s="15"/>
      <c r="X118" s="15"/>
      <c r="Y118" s="15"/>
      <c r="Z118" s="15"/>
      <c r="AE118" s="14"/>
      <c r="AF118" s="14"/>
      <c r="AG118" s="14"/>
      <c r="AH118" s="14"/>
      <c r="AI118" s="14"/>
      <c r="AJ118" s="14"/>
      <c r="AK118" s="14"/>
      <c r="AL118" s="14"/>
      <c r="AM118" s="14"/>
    </row>
    <row r="119" spans="19:39" ht="13.8">
      <c r="S119" s="15"/>
      <c r="T119" s="15"/>
      <c r="U119" s="15"/>
      <c r="V119" s="15"/>
      <c r="W119" s="15"/>
      <c r="X119" s="15"/>
      <c r="Y119" s="15"/>
      <c r="Z119" s="15"/>
      <c r="AE119" s="14"/>
      <c r="AF119" s="14"/>
      <c r="AG119" s="14"/>
      <c r="AH119" s="14"/>
      <c r="AI119" s="14"/>
      <c r="AJ119" s="14"/>
      <c r="AK119" s="14"/>
      <c r="AL119" s="14"/>
      <c r="AM119" s="14"/>
    </row>
    <row r="120" spans="19:39" ht="13.8">
      <c r="S120" s="15"/>
      <c r="T120" s="15"/>
      <c r="U120" s="15"/>
      <c r="V120" s="15"/>
      <c r="W120" s="15"/>
      <c r="X120" s="15"/>
      <c r="Y120" s="15"/>
      <c r="Z120" s="15"/>
      <c r="AE120" s="14"/>
      <c r="AF120" s="14"/>
      <c r="AG120" s="14"/>
      <c r="AH120" s="14"/>
      <c r="AI120" s="14"/>
      <c r="AJ120" s="14"/>
      <c r="AK120" s="14"/>
      <c r="AL120" s="14"/>
      <c r="AM120" s="14"/>
    </row>
    <row r="121" spans="19:39" ht="13.8">
      <c r="S121" s="15"/>
      <c r="T121" s="15"/>
      <c r="U121" s="15"/>
      <c r="V121" s="15"/>
      <c r="W121" s="15"/>
      <c r="X121" s="15"/>
      <c r="Y121" s="15"/>
      <c r="Z121" s="15"/>
      <c r="AE121" s="14"/>
      <c r="AF121" s="14"/>
      <c r="AG121" s="14"/>
      <c r="AH121" s="14"/>
      <c r="AI121" s="14"/>
      <c r="AJ121" s="14"/>
      <c r="AK121" s="14"/>
      <c r="AL121" s="14"/>
      <c r="AM121" s="14"/>
    </row>
    <row r="122" spans="19:39" ht="13.8">
      <c r="S122" s="15"/>
      <c r="T122" s="15"/>
      <c r="U122" s="15"/>
      <c r="V122" s="15"/>
      <c r="W122" s="15"/>
      <c r="X122" s="15"/>
      <c r="Y122" s="15"/>
      <c r="Z122" s="15"/>
      <c r="AE122" s="14"/>
      <c r="AF122" s="14"/>
      <c r="AG122" s="14"/>
      <c r="AH122" s="14"/>
      <c r="AI122" s="14"/>
      <c r="AJ122" s="14"/>
      <c r="AK122" s="14"/>
      <c r="AL122" s="14"/>
      <c r="AM122" s="14"/>
    </row>
    <row r="123" spans="19:39" ht="13.8">
      <c r="S123" s="15"/>
      <c r="T123" s="15"/>
      <c r="U123" s="15"/>
      <c r="V123" s="15"/>
      <c r="W123" s="15"/>
      <c r="X123" s="15"/>
      <c r="Y123" s="15"/>
      <c r="Z123" s="15"/>
      <c r="AE123" s="14"/>
      <c r="AF123" s="14"/>
      <c r="AG123" s="14"/>
      <c r="AH123" s="14"/>
      <c r="AI123" s="14"/>
      <c r="AJ123" s="14"/>
      <c r="AK123" s="14"/>
      <c r="AL123" s="14"/>
      <c r="AM123" s="14"/>
    </row>
    <row r="124" spans="19:39" ht="13.8">
      <c r="S124" s="15"/>
      <c r="T124" s="15"/>
      <c r="U124" s="15"/>
      <c r="V124" s="15"/>
      <c r="W124" s="15"/>
      <c r="X124" s="15"/>
      <c r="Y124" s="15"/>
      <c r="Z124" s="15"/>
      <c r="AE124" s="14"/>
      <c r="AF124" s="14"/>
      <c r="AG124" s="14"/>
      <c r="AH124" s="14"/>
      <c r="AI124" s="14"/>
      <c r="AJ124" s="14"/>
      <c r="AK124" s="14"/>
      <c r="AL124" s="14"/>
      <c r="AM124" s="14"/>
    </row>
    <row r="125" spans="19:39" ht="13.8">
      <c r="S125" s="15"/>
      <c r="T125" s="15"/>
      <c r="U125" s="15"/>
      <c r="V125" s="15"/>
      <c r="W125" s="15"/>
      <c r="X125" s="15"/>
      <c r="Y125" s="15"/>
      <c r="Z125" s="15"/>
      <c r="AE125" s="14"/>
      <c r="AF125" s="14"/>
      <c r="AG125" s="14"/>
      <c r="AH125" s="14"/>
      <c r="AI125" s="14"/>
      <c r="AJ125" s="14"/>
      <c r="AK125" s="14"/>
      <c r="AL125" s="14"/>
      <c r="AM125" s="14"/>
    </row>
    <row r="126" spans="19:39" ht="13.8">
      <c r="S126" s="15"/>
      <c r="T126" s="15"/>
      <c r="U126" s="15"/>
      <c r="V126" s="15"/>
      <c r="W126" s="15"/>
      <c r="X126" s="15"/>
      <c r="Y126" s="15"/>
      <c r="Z126" s="15"/>
      <c r="AE126" s="14"/>
      <c r="AF126" s="14"/>
      <c r="AG126" s="14"/>
      <c r="AH126" s="14"/>
      <c r="AI126" s="14"/>
      <c r="AJ126" s="14"/>
      <c r="AK126" s="14"/>
      <c r="AL126" s="14"/>
      <c r="AM126" s="14"/>
    </row>
    <row r="127" spans="19:39" ht="13.8">
      <c r="S127" s="15"/>
      <c r="T127" s="15"/>
      <c r="U127" s="15"/>
      <c r="V127" s="15"/>
      <c r="W127" s="15"/>
      <c r="X127" s="15"/>
      <c r="Y127" s="15"/>
      <c r="Z127" s="15"/>
      <c r="AE127" s="14"/>
      <c r="AF127" s="14"/>
      <c r="AG127" s="14"/>
      <c r="AH127" s="14"/>
      <c r="AI127" s="14"/>
      <c r="AJ127" s="14"/>
      <c r="AK127" s="14"/>
      <c r="AL127" s="14"/>
      <c r="AM127" s="14"/>
    </row>
    <row r="128" spans="19:39" ht="13.8">
      <c r="S128" s="15"/>
      <c r="T128" s="15"/>
      <c r="U128" s="15"/>
      <c r="V128" s="15"/>
      <c r="W128" s="15"/>
      <c r="X128" s="15"/>
      <c r="Y128" s="15"/>
      <c r="Z128" s="15"/>
      <c r="AE128" s="14"/>
      <c r="AF128" s="14"/>
      <c r="AG128" s="14"/>
      <c r="AH128" s="14"/>
      <c r="AI128" s="14"/>
      <c r="AJ128" s="14"/>
      <c r="AK128" s="14"/>
      <c r="AL128" s="14"/>
      <c r="AM128" s="14"/>
    </row>
    <row r="129" spans="19:39" ht="13.8">
      <c r="S129" s="15"/>
      <c r="T129" s="15"/>
      <c r="U129" s="15"/>
      <c r="V129" s="15"/>
      <c r="W129" s="15"/>
      <c r="X129" s="15"/>
      <c r="Y129" s="15"/>
      <c r="Z129" s="15"/>
      <c r="AE129" s="14"/>
      <c r="AF129" s="14"/>
      <c r="AG129" s="14"/>
      <c r="AH129" s="14"/>
      <c r="AI129" s="14"/>
      <c r="AJ129" s="14"/>
      <c r="AK129" s="14"/>
      <c r="AL129" s="14"/>
      <c r="AM129" s="14"/>
    </row>
    <row r="130" spans="19:39" ht="13.8">
      <c r="S130" s="15"/>
      <c r="T130" s="15"/>
      <c r="U130" s="15"/>
      <c r="V130" s="15"/>
      <c r="W130" s="15"/>
      <c r="X130" s="15"/>
      <c r="Y130" s="15"/>
      <c r="Z130" s="15"/>
      <c r="AE130" s="14"/>
      <c r="AF130" s="14"/>
      <c r="AG130" s="14"/>
      <c r="AH130" s="14"/>
      <c r="AI130" s="14"/>
      <c r="AJ130" s="14"/>
      <c r="AK130" s="14"/>
      <c r="AL130" s="14"/>
      <c r="AM130" s="14"/>
    </row>
    <row r="131" spans="19:39" ht="13.8">
      <c r="S131" s="15"/>
      <c r="T131" s="15"/>
      <c r="U131" s="15"/>
      <c r="V131" s="15"/>
      <c r="W131" s="15"/>
      <c r="X131" s="15"/>
      <c r="Y131" s="15"/>
      <c r="Z131" s="15"/>
      <c r="AE131" s="14"/>
      <c r="AF131" s="14"/>
      <c r="AG131" s="14"/>
      <c r="AH131" s="14"/>
      <c r="AI131" s="14"/>
      <c r="AJ131" s="14"/>
      <c r="AK131" s="14"/>
      <c r="AL131" s="14"/>
      <c r="AM131" s="14"/>
    </row>
    <row r="132" spans="19:39" ht="13.8">
      <c r="S132" s="15"/>
      <c r="T132" s="15"/>
      <c r="U132" s="15"/>
      <c r="V132" s="15"/>
      <c r="W132" s="15"/>
      <c r="X132" s="15"/>
      <c r="Y132" s="15"/>
      <c r="Z132" s="15"/>
      <c r="AE132" s="14"/>
      <c r="AF132" s="14"/>
      <c r="AG132" s="14"/>
      <c r="AH132" s="14"/>
      <c r="AI132" s="14"/>
      <c r="AJ132" s="14"/>
      <c r="AK132" s="14"/>
      <c r="AL132" s="14"/>
      <c r="AM132" s="14"/>
    </row>
    <row r="133" spans="19:39" ht="13.8">
      <c r="S133" s="15"/>
      <c r="T133" s="15"/>
      <c r="U133" s="15"/>
      <c r="V133" s="15"/>
      <c r="W133" s="15"/>
      <c r="X133" s="15"/>
      <c r="Y133" s="15"/>
      <c r="Z133" s="15"/>
      <c r="AE133" s="14"/>
      <c r="AF133" s="14"/>
      <c r="AG133" s="14"/>
      <c r="AH133" s="14"/>
      <c r="AI133" s="14"/>
      <c r="AJ133" s="14"/>
      <c r="AK133" s="14"/>
      <c r="AL133" s="14"/>
      <c r="AM133" s="14"/>
    </row>
    <row r="134" spans="19:39" ht="13.8">
      <c r="S134" s="15"/>
      <c r="T134" s="15"/>
      <c r="U134" s="15"/>
      <c r="V134" s="15"/>
      <c r="W134" s="15"/>
      <c r="X134" s="15"/>
      <c r="Y134" s="15"/>
      <c r="Z134" s="15"/>
      <c r="AE134" s="14"/>
      <c r="AF134" s="14"/>
      <c r="AG134" s="14"/>
      <c r="AH134" s="14"/>
      <c r="AI134" s="14"/>
      <c r="AJ134" s="14"/>
      <c r="AK134" s="14"/>
      <c r="AL134" s="14"/>
      <c r="AM134" s="14"/>
    </row>
    <row r="135" spans="19:39" ht="13.8">
      <c r="S135" s="15"/>
      <c r="T135" s="15"/>
      <c r="U135" s="15"/>
      <c r="V135" s="15"/>
      <c r="W135" s="15"/>
      <c r="X135" s="15"/>
      <c r="Y135" s="15"/>
      <c r="Z135" s="15"/>
      <c r="AE135" s="14"/>
      <c r="AF135" s="14"/>
      <c r="AG135" s="14"/>
      <c r="AH135" s="14"/>
      <c r="AI135" s="14"/>
      <c r="AJ135" s="14"/>
      <c r="AK135" s="14"/>
      <c r="AL135" s="14"/>
      <c r="AM135" s="14"/>
    </row>
    <row r="136" spans="19:39" ht="13.8">
      <c r="S136" s="15"/>
      <c r="T136" s="15"/>
      <c r="U136" s="15"/>
      <c r="V136" s="15"/>
      <c r="W136" s="15"/>
      <c r="X136" s="15"/>
      <c r="Y136" s="15"/>
      <c r="Z136" s="15"/>
      <c r="AE136" s="14"/>
      <c r="AF136" s="14"/>
      <c r="AG136" s="14"/>
      <c r="AH136" s="14"/>
      <c r="AI136" s="14"/>
      <c r="AJ136" s="14"/>
      <c r="AK136" s="14"/>
      <c r="AL136" s="14"/>
      <c r="AM136" s="14"/>
    </row>
    <row r="137" spans="19:39" ht="13.8">
      <c r="S137" s="15"/>
      <c r="T137" s="15"/>
      <c r="U137" s="15"/>
      <c r="V137" s="15"/>
      <c r="W137" s="15"/>
      <c r="X137" s="15"/>
      <c r="Y137" s="15"/>
      <c r="Z137" s="15"/>
      <c r="AE137" s="14"/>
      <c r="AF137" s="14"/>
      <c r="AG137" s="14"/>
      <c r="AH137" s="14"/>
      <c r="AI137" s="14"/>
      <c r="AJ137" s="14"/>
      <c r="AK137" s="14"/>
      <c r="AL137" s="14"/>
      <c r="AM137" s="14"/>
    </row>
    <row r="138" spans="19:39" ht="13.8">
      <c r="S138" s="15"/>
      <c r="T138" s="15"/>
      <c r="U138" s="15"/>
      <c r="V138" s="15"/>
      <c r="W138" s="15"/>
      <c r="X138" s="15"/>
      <c r="Y138" s="15"/>
      <c r="Z138" s="15"/>
      <c r="AE138" s="14"/>
      <c r="AF138" s="14"/>
      <c r="AG138" s="14"/>
      <c r="AH138" s="14"/>
      <c r="AI138" s="14"/>
      <c r="AJ138" s="14"/>
      <c r="AK138" s="14"/>
      <c r="AL138" s="14"/>
      <c r="AM138" s="14"/>
    </row>
    <row r="139" spans="19:39" ht="13.8">
      <c r="S139" s="15"/>
      <c r="T139" s="15"/>
      <c r="U139" s="15"/>
      <c r="V139" s="15"/>
      <c r="W139" s="15"/>
      <c r="X139" s="15"/>
      <c r="Y139" s="15"/>
      <c r="Z139" s="15"/>
      <c r="AE139" s="14"/>
      <c r="AF139" s="14"/>
      <c r="AG139" s="14"/>
      <c r="AH139" s="14"/>
      <c r="AI139" s="14"/>
      <c r="AJ139" s="14"/>
      <c r="AK139" s="14"/>
      <c r="AL139" s="14"/>
      <c r="AM139" s="14"/>
    </row>
    <row r="140" spans="19:39" ht="13.8">
      <c r="S140" s="15"/>
      <c r="T140" s="15"/>
      <c r="U140" s="15"/>
      <c r="V140" s="15"/>
      <c r="W140" s="15"/>
      <c r="X140" s="15"/>
      <c r="Y140" s="15"/>
      <c r="Z140" s="15"/>
      <c r="AE140" s="14"/>
      <c r="AF140" s="14"/>
      <c r="AG140" s="14"/>
      <c r="AH140" s="14"/>
      <c r="AI140" s="14"/>
      <c r="AJ140" s="14"/>
      <c r="AK140" s="14"/>
      <c r="AL140" s="14"/>
      <c r="AM140" s="14"/>
    </row>
    <row r="141" spans="19:39" ht="13.8">
      <c r="S141" s="15"/>
      <c r="T141" s="15"/>
      <c r="U141" s="15"/>
      <c r="V141" s="15"/>
      <c r="W141" s="15"/>
      <c r="X141" s="15"/>
      <c r="Y141" s="15"/>
      <c r="Z141" s="15"/>
      <c r="AE141" s="14"/>
      <c r="AF141" s="14"/>
      <c r="AG141" s="14"/>
      <c r="AH141" s="14"/>
      <c r="AI141" s="14"/>
      <c r="AJ141" s="14"/>
      <c r="AK141" s="14"/>
      <c r="AL141" s="14"/>
      <c r="AM141" s="14"/>
    </row>
    <row r="142" spans="19:39" ht="13.8">
      <c r="S142" s="15"/>
      <c r="T142" s="15"/>
      <c r="U142" s="15"/>
      <c r="V142" s="15"/>
      <c r="W142" s="15"/>
      <c r="X142" s="15"/>
      <c r="Y142" s="15"/>
      <c r="Z142" s="15"/>
      <c r="AE142" s="14"/>
      <c r="AF142" s="14"/>
      <c r="AG142" s="14"/>
      <c r="AH142" s="14"/>
      <c r="AI142" s="14"/>
      <c r="AJ142" s="14"/>
      <c r="AK142" s="14"/>
      <c r="AL142" s="14"/>
      <c r="AM142" s="14"/>
    </row>
    <row r="143" spans="19:39" ht="13.8">
      <c r="S143" s="15"/>
      <c r="T143" s="15"/>
      <c r="U143" s="15"/>
      <c r="V143" s="15"/>
      <c r="W143" s="15"/>
      <c r="X143" s="15"/>
      <c r="Y143" s="15"/>
      <c r="Z143" s="15"/>
      <c r="AE143" s="14"/>
      <c r="AF143" s="14"/>
      <c r="AG143" s="14"/>
      <c r="AH143" s="14"/>
      <c r="AI143" s="14"/>
      <c r="AJ143" s="14"/>
      <c r="AK143" s="14"/>
      <c r="AL143" s="14"/>
      <c r="AM143" s="14"/>
    </row>
    <row r="144" spans="19:39" ht="13.8">
      <c r="S144" s="15"/>
      <c r="T144" s="15"/>
      <c r="U144" s="15"/>
      <c r="V144" s="15"/>
      <c r="W144" s="15"/>
      <c r="X144" s="15"/>
      <c r="Y144" s="15"/>
      <c r="Z144" s="15"/>
      <c r="AE144" s="14"/>
      <c r="AF144" s="14"/>
      <c r="AG144" s="14"/>
      <c r="AH144" s="14"/>
      <c r="AI144" s="14"/>
      <c r="AJ144" s="14"/>
      <c r="AK144" s="14"/>
      <c r="AL144" s="14"/>
      <c r="AM144" s="14"/>
    </row>
    <row r="145" spans="19:39" ht="13.8">
      <c r="S145" s="15"/>
      <c r="T145" s="15"/>
      <c r="U145" s="15"/>
      <c r="V145" s="15"/>
      <c r="W145" s="15"/>
      <c r="X145" s="15"/>
      <c r="Y145" s="15"/>
      <c r="Z145" s="15"/>
      <c r="AE145" s="14"/>
      <c r="AF145" s="14"/>
      <c r="AG145" s="14"/>
      <c r="AH145" s="14"/>
      <c r="AI145" s="14"/>
      <c r="AJ145" s="14"/>
      <c r="AK145" s="14"/>
      <c r="AL145" s="14"/>
      <c r="AM145" s="14"/>
    </row>
    <row r="146" spans="19:39" ht="13.8">
      <c r="S146" s="15"/>
      <c r="T146" s="15"/>
      <c r="U146" s="15"/>
      <c r="V146" s="15"/>
      <c r="W146" s="15"/>
      <c r="X146" s="15"/>
      <c r="Y146" s="15"/>
      <c r="Z146" s="15"/>
      <c r="AE146" s="14"/>
      <c r="AF146" s="14"/>
      <c r="AG146" s="14"/>
      <c r="AH146" s="14"/>
      <c r="AI146" s="14"/>
      <c r="AJ146" s="14"/>
      <c r="AK146" s="14"/>
      <c r="AL146" s="14"/>
      <c r="AM146" s="14"/>
    </row>
    <row r="147" spans="19:39" ht="13.8">
      <c r="S147" s="15"/>
      <c r="T147" s="15"/>
      <c r="U147" s="15"/>
      <c r="V147" s="15"/>
      <c r="W147" s="15"/>
      <c r="X147" s="15"/>
      <c r="Y147" s="15"/>
      <c r="Z147" s="15"/>
      <c r="AE147" s="14"/>
      <c r="AF147" s="14"/>
      <c r="AG147" s="14"/>
      <c r="AH147" s="14"/>
      <c r="AI147" s="14"/>
      <c r="AJ147" s="14"/>
      <c r="AK147" s="14"/>
      <c r="AL147" s="14"/>
      <c r="AM147" s="14"/>
    </row>
    <row r="148" spans="19:39" ht="13.8">
      <c r="S148" s="15"/>
      <c r="T148" s="15"/>
      <c r="U148" s="15"/>
      <c r="V148" s="15"/>
      <c r="W148" s="15"/>
      <c r="X148" s="15"/>
      <c r="Y148" s="15"/>
      <c r="Z148" s="15"/>
      <c r="AE148" s="14"/>
      <c r="AF148" s="14"/>
      <c r="AG148" s="14"/>
      <c r="AH148" s="14"/>
      <c r="AI148" s="14"/>
      <c r="AJ148" s="14"/>
      <c r="AK148" s="14"/>
      <c r="AL148" s="14"/>
      <c r="AM148" s="14"/>
    </row>
    <row r="149" spans="19:39" ht="13.8">
      <c r="S149" s="15"/>
      <c r="T149" s="15"/>
      <c r="U149" s="15"/>
      <c r="V149" s="15"/>
      <c r="W149" s="15"/>
      <c r="X149" s="15"/>
      <c r="Y149" s="15"/>
      <c r="Z149" s="15"/>
      <c r="AE149" s="14"/>
      <c r="AF149" s="14"/>
      <c r="AG149" s="14"/>
      <c r="AH149" s="14"/>
      <c r="AI149" s="14"/>
      <c r="AJ149" s="14"/>
      <c r="AK149" s="14"/>
      <c r="AL149" s="14"/>
      <c r="AM149" s="14"/>
    </row>
    <row r="150" spans="19:39" ht="13.8">
      <c r="S150" s="15"/>
      <c r="T150" s="15"/>
      <c r="U150" s="15"/>
      <c r="V150" s="15"/>
      <c r="W150" s="15"/>
      <c r="X150" s="15"/>
      <c r="Y150" s="15"/>
      <c r="Z150" s="15"/>
      <c r="AE150" s="14"/>
      <c r="AF150" s="14"/>
      <c r="AG150" s="14"/>
      <c r="AH150" s="14"/>
      <c r="AI150" s="14"/>
      <c r="AJ150" s="14"/>
      <c r="AK150" s="14"/>
      <c r="AL150" s="14"/>
      <c r="AM150" s="14"/>
    </row>
    <row r="151" spans="19:39" ht="13.8">
      <c r="S151" s="15"/>
      <c r="T151" s="15"/>
      <c r="U151" s="15"/>
      <c r="V151" s="15"/>
      <c r="W151" s="15"/>
      <c r="X151" s="15"/>
      <c r="Y151" s="15"/>
      <c r="Z151" s="15"/>
      <c r="AE151" s="14"/>
      <c r="AF151" s="14"/>
      <c r="AG151" s="14"/>
      <c r="AH151" s="14"/>
      <c r="AI151" s="14"/>
      <c r="AJ151" s="14"/>
      <c r="AK151" s="14"/>
      <c r="AL151" s="14"/>
      <c r="AM151" s="14"/>
    </row>
    <row r="152" spans="19:39" ht="13.8">
      <c r="S152" s="15"/>
      <c r="T152" s="15"/>
      <c r="U152" s="15"/>
      <c r="V152" s="15"/>
      <c r="W152" s="15"/>
      <c r="X152" s="15"/>
      <c r="Y152" s="15"/>
      <c r="Z152" s="15"/>
      <c r="AE152" s="14"/>
      <c r="AF152" s="14"/>
      <c r="AG152" s="14"/>
      <c r="AH152" s="14"/>
      <c r="AI152" s="14"/>
      <c r="AJ152" s="14"/>
      <c r="AK152" s="14"/>
      <c r="AL152" s="14"/>
      <c r="AM152" s="14"/>
    </row>
    <row r="153" spans="19:39" ht="13.8">
      <c r="S153" s="15"/>
      <c r="T153" s="15"/>
      <c r="U153" s="15"/>
      <c r="V153" s="15"/>
      <c r="W153" s="15"/>
      <c r="X153" s="15"/>
      <c r="Y153" s="15"/>
      <c r="Z153" s="15"/>
      <c r="AE153" s="14"/>
      <c r="AF153" s="14"/>
      <c r="AG153" s="14"/>
      <c r="AH153" s="14"/>
      <c r="AI153" s="14"/>
      <c r="AJ153" s="14"/>
      <c r="AK153" s="14"/>
      <c r="AL153" s="14"/>
      <c r="AM153" s="14"/>
    </row>
    <row r="154" spans="19:39" ht="13.8">
      <c r="S154" s="15"/>
      <c r="T154" s="15"/>
      <c r="U154" s="15"/>
      <c r="V154" s="15"/>
      <c r="W154" s="15"/>
      <c r="X154" s="15"/>
      <c r="Y154" s="15"/>
      <c r="Z154" s="15"/>
      <c r="AE154" s="14"/>
      <c r="AF154" s="14"/>
      <c r="AG154" s="14"/>
      <c r="AH154" s="14"/>
      <c r="AI154" s="14"/>
      <c r="AJ154" s="14"/>
      <c r="AK154" s="14"/>
      <c r="AL154" s="14"/>
      <c r="AM154" s="14"/>
    </row>
    <row r="155" spans="19:39" ht="13.8">
      <c r="S155" s="15"/>
      <c r="T155" s="15"/>
      <c r="U155" s="15"/>
      <c r="V155" s="15"/>
      <c r="W155" s="15"/>
      <c r="X155" s="15"/>
      <c r="Y155" s="15"/>
      <c r="Z155" s="15"/>
      <c r="AE155" s="14"/>
      <c r="AF155" s="14"/>
      <c r="AG155" s="14"/>
      <c r="AH155" s="14"/>
      <c r="AI155" s="14"/>
      <c r="AJ155" s="14"/>
      <c r="AK155" s="14"/>
      <c r="AL155" s="14"/>
      <c r="AM155" s="14"/>
    </row>
    <row r="156" spans="19:39" ht="13.8">
      <c r="S156" s="15"/>
      <c r="T156" s="15"/>
      <c r="U156" s="15"/>
      <c r="V156" s="15"/>
      <c r="W156" s="15"/>
      <c r="X156" s="15"/>
      <c r="Y156" s="15"/>
      <c r="Z156" s="15"/>
      <c r="AE156" s="14"/>
      <c r="AF156" s="14"/>
      <c r="AG156" s="14"/>
      <c r="AH156" s="14"/>
      <c r="AI156" s="14"/>
      <c r="AJ156" s="14"/>
      <c r="AK156" s="14"/>
      <c r="AL156" s="14"/>
      <c r="AM156" s="14"/>
    </row>
    <row r="157" spans="19:39" ht="13.8">
      <c r="S157" s="15"/>
      <c r="T157" s="15"/>
      <c r="U157" s="15"/>
      <c r="V157" s="15"/>
      <c r="W157" s="15"/>
      <c r="X157" s="15"/>
      <c r="Y157" s="15"/>
      <c r="Z157" s="15"/>
      <c r="AE157" s="14"/>
      <c r="AF157" s="14"/>
      <c r="AG157" s="14"/>
      <c r="AH157" s="14"/>
      <c r="AI157" s="14"/>
      <c r="AJ157" s="14"/>
      <c r="AK157" s="14"/>
      <c r="AL157" s="14"/>
      <c r="AM157" s="14"/>
    </row>
    <row r="158" spans="19:39" ht="13.8">
      <c r="S158" s="15"/>
      <c r="T158" s="15"/>
      <c r="U158" s="15"/>
      <c r="V158" s="15"/>
      <c r="W158" s="15"/>
      <c r="X158" s="15"/>
      <c r="Y158" s="15"/>
      <c r="Z158" s="15"/>
      <c r="AE158" s="14"/>
      <c r="AF158" s="14"/>
      <c r="AG158" s="14"/>
      <c r="AH158" s="14"/>
      <c r="AI158" s="14"/>
      <c r="AJ158" s="14"/>
      <c r="AK158" s="14"/>
      <c r="AL158" s="14"/>
      <c r="AM158" s="14"/>
    </row>
    <row r="159" spans="19:39" ht="13.8">
      <c r="S159" s="15"/>
      <c r="T159" s="15"/>
      <c r="U159" s="15"/>
      <c r="V159" s="15"/>
      <c r="W159" s="15"/>
      <c r="X159" s="15"/>
      <c r="Y159" s="15"/>
      <c r="Z159" s="15"/>
      <c r="AE159" s="14"/>
      <c r="AF159" s="14"/>
      <c r="AG159" s="14"/>
      <c r="AH159" s="14"/>
      <c r="AI159" s="14"/>
      <c r="AJ159" s="14"/>
      <c r="AK159" s="14"/>
      <c r="AL159" s="14"/>
      <c r="AM159" s="14"/>
    </row>
    <row r="160" spans="19:39" ht="13.8">
      <c r="S160" s="15"/>
      <c r="T160" s="15"/>
      <c r="U160" s="15"/>
      <c r="V160" s="15"/>
      <c r="W160" s="15"/>
      <c r="X160" s="15"/>
      <c r="Y160" s="15"/>
      <c r="Z160" s="15"/>
      <c r="AE160" s="14"/>
      <c r="AF160" s="14"/>
      <c r="AG160" s="14"/>
      <c r="AH160" s="14"/>
      <c r="AI160" s="14"/>
      <c r="AJ160" s="14"/>
      <c r="AK160" s="14"/>
      <c r="AL160" s="14"/>
      <c r="AM160" s="14"/>
    </row>
    <row r="161" spans="19:39" ht="13.8">
      <c r="S161" s="15"/>
      <c r="T161" s="15"/>
      <c r="U161" s="15"/>
      <c r="V161" s="15"/>
      <c r="W161" s="15"/>
      <c r="X161" s="15"/>
      <c r="Y161" s="15"/>
      <c r="Z161" s="15"/>
      <c r="AE161" s="14"/>
      <c r="AF161" s="14"/>
      <c r="AG161" s="14"/>
      <c r="AH161" s="14"/>
      <c r="AI161" s="14"/>
      <c r="AJ161" s="14"/>
      <c r="AK161" s="14"/>
      <c r="AL161" s="14"/>
      <c r="AM161" s="14"/>
    </row>
    <row r="162" spans="19:39" ht="13.8">
      <c r="S162" s="15"/>
      <c r="T162" s="15"/>
      <c r="U162" s="15"/>
      <c r="V162" s="15"/>
      <c r="W162" s="15"/>
      <c r="X162" s="15"/>
      <c r="Y162" s="15"/>
      <c r="Z162" s="15"/>
      <c r="AE162" s="14"/>
      <c r="AF162" s="14"/>
      <c r="AG162" s="14"/>
      <c r="AH162" s="14"/>
      <c r="AI162" s="14"/>
      <c r="AJ162" s="14"/>
      <c r="AK162" s="14"/>
      <c r="AL162" s="14"/>
      <c r="AM162" s="14"/>
    </row>
    <row r="163" spans="19:39" ht="13.8">
      <c r="S163" s="15"/>
      <c r="T163" s="15"/>
      <c r="U163" s="15"/>
      <c r="V163" s="15"/>
      <c r="W163" s="15"/>
      <c r="X163" s="15"/>
      <c r="Y163" s="15"/>
      <c r="Z163" s="15"/>
      <c r="AE163" s="14"/>
      <c r="AF163" s="14"/>
      <c r="AG163" s="14"/>
      <c r="AH163" s="14"/>
      <c r="AI163" s="14"/>
      <c r="AJ163" s="14"/>
      <c r="AK163" s="14"/>
      <c r="AL163" s="14"/>
      <c r="AM163" s="14"/>
    </row>
    <row r="164" spans="19:39" ht="13.8">
      <c r="S164" s="15"/>
      <c r="T164" s="15"/>
      <c r="U164" s="15"/>
      <c r="V164" s="15"/>
      <c r="W164" s="15"/>
      <c r="X164" s="15"/>
      <c r="Y164" s="15"/>
      <c r="Z164" s="15"/>
      <c r="AE164" s="14"/>
      <c r="AF164" s="14"/>
      <c r="AG164" s="14"/>
      <c r="AH164" s="14"/>
      <c r="AI164" s="14"/>
      <c r="AJ164" s="14"/>
      <c r="AK164" s="14"/>
      <c r="AL164" s="14"/>
      <c r="AM164" s="14"/>
    </row>
    <row r="165" spans="19:39" ht="13.8">
      <c r="S165" s="15"/>
      <c r="T165" s="15"/>
      <c r="U165" s="15"/>
      <c r="V165" s="15"/>
      <c r="W165" s="15"/>
      <c r="X165" s="15"/>
      <c r="Y165" s="15"/>
      <c r="Z165" s="15"/>
      <c r="AE165" s="14"/>
      <c r="AF165" s="14"/>
      <c r="AG165" s="14"/>
      <c r="AH165" s="14"/>
      <c r="AI165" s="14"/>
      <c r="AJ165" s="14"/>
      <c r="AK165" s="14"/>
      <c r="AL165" s="14"/>
      <c r="AM165" s="14"/>
    </row>
    <row r="166" spans="19:39" ht="13.8">
      <c r="S166" s="15"/>
      <c r="T166" s="15"/>
      <c r="U166" s="15"/>
      <c r="V166" s="15"/>
      <c r="W166" s="15"/>
      <c r="X166" s="15"/>
      <c r="Y166" s="15"/>
      <c r="Z166" s="15"/>
      <c r="AE166" s="14"/>
      <c r="AF166" s="14"/>
      <c r="AG166" s="14"/>
      <c r="AH166" s="14"/>
      <c r="AI166" s="14"/>
      <c r="AJ166" s="14"/>
      <c r="AK166" s="14"/>
      <c r="AL166" s="14"/>
      <c r="AM166" s="14"/>
    </row>
    <row r="167" spans="19:39" ht="13.8">
      <c r="S167" s="15"/>
      <c r="T167" s="15"/>
      <c r="U167" s="15"/>
      <c r="V167" s="15"/>
      <c r="W167" s="15"/>
      <c r="X167" s="15"/>
      <c r="Y167" s="15"/>
      <c r="Z167" s="15"/>
      <c r="AE167" s="14"/>
      <c r="AF167" s="14"/>
      <c r="AG167" s="14"/>
      <c r="AH167" s="14"/>
      <c r="AI167" s="14"/>
      <c r="AJ167" s="14"/>
      <c r="AK167" s="14"/>
      <c r="AL167" s="14"/>
      <c r="AM167" s="14"/>
    </row>
    <row r="168" spans="19:39" ht="13.8">
      <c r="S168" s="15"/>
      <c r="T168" s="15"/>
      <c r="U168" s="15"/>
      <c r="V168" s="15"/>
      <c r="W168" s="15"/>
      <c r="X168" s="15"/>
      <c r="Y168" s="15"/>
      <c r="Z168" s="15"/>
      <c r="AE168" s="14"/>
      <c r="AF168" s="14"/>
      <c r="AG168" s="14"/>
      <c r="AH168" s="14"/>
      <c r="AI168" s="14"/>
      <c r="AJ168" s="14"/>
      <c r="AK168" s="14"/>
      <c r="AL168" s="14"/>
      <c r="AM168" s="14"/>
    </row>
    <row r="169" spans="19:39" ht="13.8">
      <c r="S169" s="15"/>
      <c r="T169" s="15"/>
      <c r="U169" s="15"/>
      <c r="V169" s="15"/>
      <c r="W169" s="15"/>
      <c r="X169" s="15"/>
      <c r="Y169" s="15"/>
      <c r="Z169" s="15"/>
      <c r="AE169" s="14"/>
      <c r="AF169" s="14"/>
      <c r="AG169" s="14"/>
      <c r="AH169" s="14"/>
      <c r="AI169" s="14"/>
      <c r="AJ169" s="14"/>
      <c r="AK169" s="14"/>
      <c r="AL169" s="14"/>
      <c r="AM169" s="14"/>
    </row>
    <row r="170" spans="19:39" ht="13.8">
      <c r="S170" s="15"/>
      <c r="T170" s="15"/>
      <c r="U170" s="15"/>
      <c r="V170" s="15"/>
      <c r="W170" s="15"/>
      <c r="X170" s="15"/>
      <c r="Y170" s="15"/>
      <c r="Z170" s="15"/>
      <c r="AE170" s="14"/>
      <c r="AF170" s="14"/>
      <c r="AG170" s="14"/>
      <c r="AH170" s="14"/>
      <c r="AI170" s="14"/>
      <c r="AJ170" s="14"/>
      <c r="AK170" s="14"/>
      <c r="AL170" s="14"/>
      <c r="AM170" s="14"/>
    </row>
    <row r="171" spans="19:39" ht="13.8">
      <c r="S171" s="15"/>
      <c r="T171" s="15"/>
      <c r="U171" s="15"/>
      <c r="V171" s="15"/>
      <c r="W171" s="15"/>
      <c r="X171" s="15"/>
      <c r="Y171" s="15"/>
      <c r="Z171" s="15"/>
      <c r="AE171" s="14"/>
      <c r="AF171" s="14"/>
      <c r="AG171" s="14"/>
      <c r="AH171" s="14"/>
      <c r="AI171" s="14"/>
      <c r="AJ171" s="14"/>
      <c r="AK171" s="14"/>
      <c r="AL171" s="14"/>
      <c r="AM171" s="14"/>
    </row>
    <row r="172" spans="19:39" ht="13.8">
      <c r="S172" s="15"/>
      <c r="T172" s="15"/>
      <c r="U172" s="15"/>
      <c r="V172" s="15"/>
      <c r="W172" s="15"/>
      <c r="X172" s="15"/>
      <c r="Y172" s="15"/>
      <c r="Z172" s="15"/>
      <c r="AE172" s="14"/>
      <c r="AF172" s="14"/>
      <c r="AG172" s="14"/>
      <c r="AH172" s="14"/>
      <c r="AI172" s="14"/>
      <c r="AJ172" s="14"/>
      <c r="AK172" s="14"/>
      <c r="AL172" s="14"/>
      <c r="AM172" s="14"/>
    </row>
    <row r="173" spans="19:39" ht="13.8">
      <c r="S173" s="15"/>
      <c r="T173" s="15"/>
      <c r="U173" s="15"/>
      <c r="V173" s="15"/>
      <c r="W173" s="15"/>
      <c r="X173" s="15"/>
      <c r="Y173" s="15"/>
      <c r="Z173" s="15"/>
      <c r="AE173" s="14"/>
      <c r="AF173" s="14"/>
      <c r="AG173" s="14"/>
      <c r="AH173" s="14"/>
      <c r="AI173" s="14"/>
      <c r="AJ173" s="14"/>
      <c r="AK173" s="14"/>
      <c r="AL173" s="14"/>
      <c r="AM173" s="14"/>
    </row>
    <row r="174" spans="19:39" ht="13.8">
      <c r="S174" s="15"/>
      <c r="T174" s="15"/>
      <c r="U174" s="15"/>
      <c r="V174" s="15"/>
      <c r="W174" s="15"/>
      <c r="X174" s="15"/>
      <c r="Y174" s="15"/>
      <c r="Z174" s="15"/>
      <c r="AE174" s="14"/>
      <c r="AF174" s="14"/>
      <c r="AG174" s="14"/>
      <c r="AH174" s="14"/>
      <c r="AI174" s="14"/>
      <c r="AJ174" s="14"/>
      <c r="AK174" s="14"/>
      <c r="AL174" s="14"/>
      <c r="AM174" s="14"/>
    </row>
    <row r="175" spans="19:39" ht="13.8">
      <c r="S175" s="15"/>
      <c r="T175" s="15"/>
      <c r="U175" s="15"/>
      <c r="V175" s="15"/>
      <c r="W175" s="15"/>
      <c r="X175" s="15"/>
      <c r="Y175" s="15"/>
      <c r="Z175" s="15"/>
      <c r="AE175" s="14"/>
      <c r="AF175" s="14"/>
      <c r="AG175" s="14"/>
      <c r="AH175" s="14"/>
      <c r="AI175" s="14"/>
      <c r="AJ175" s="14"/>
      <c r="AK175" s="14"/>
      <c r="AL175" s="14"/>
      <c r="AM175" s="14"/>
    </row>
    <row r="176" spans="19:39" ht="13.8">
      <c r="S176" s="15"/>
      <c r="T176" s="15"/>
      <c r="U176" s="15"/>
      <c r="V176" s="15"/>
      <c r="W176" s="15"/>
      <c r="X176" s="15"/>
      <c r="Y176" s="15"/>
      <c r="Z176" s="15"/>
      <c r="AE176" s="14"/>
      <c r="AF176" s="14"/>
      <c r="AG176" s="14"/>
      <c r="AH176" s="14"/>
      <c r="AI176" s="14"/>
      <c r="AJ176" s="14"/>
      <c r="AK176" s="14"/>
      <c r="AL176" s="14"/>
      <c r="AM176" s="14"/>
    </row>
    <row r="177" spans="19:39" ht="13.8">
      <c r="S177" s="15"/>
      <c r="T177" s="15"/>
      <c r="U177" s="15"/>
      <c r="V177" s="15"/>
      <c r="W177" s="15"/>
      <c r="X177" s="15"/>
      <c r="Y177" s="15"/>
      <c r="Z177" s="15"/>
      <c r="AE177" s="14"/>
      <c r="AF177" s="14"/>
      <c r="AG177" s="14"/>
      <c r="AH177" s="14"/>
      <c r="AI177" s="14"/>
      <c r="AJ177" s="14"/>
      <c r="AK177" s="14"/>
      <c r="AL177" s="14"/>
      <c r="AM177" s="14"/>
    </row>
    <row r="178" spans="19:39" ht="13.8">
      <c r="S178" s="15"/>
      <c r="T178" s="15"/>
      <c r="U178" s="15"/>
      <c r="V178" s="15"/>
      <c r="W178" s="15"/>
      <c r="X178" s="15"/>
      <c r="Y178" s="15"/>
      <c r="Z178" s="15"/>
      <c r="AE178" s="14"/>
      <c r="AF178" s="14"/>
      <c r="AG178" s="14"/>
      <c r="AH178" s="14"/>
      <c r="AI178" s="14"/>
      <c r="AJ178" s="14"/>
      <c r="AK178" s="14"/>
      <c r="AL178" s="14"/>
      <c r="AM178" s="14"/>
    </row>
    <row r="179" spans="19:39" ht="13.8">
      <c r="S179" s="15"/>
      <c r="T179" s="15"/>
      <c r="U179" s="15"/>
      <c r="V179" s="15"/>
      <c r="W179" s="15"/>
      <c r="X179" s="15"/>
      <c r="Y179" s="15"/>
      <c r="Z179" s="15"/>
      <c r="AE179" s="14"/>
      <c r="AF179" s="14"/>
      <c r="AG179" s="14"/>
      <c r="AH179" s="14"/>
      <c r="AI179" s="14"/>
      <c r="AJ179" s="14"/>
      <c r="AK179" s="14"/>
      <c r="AL179" s="14"/>
      <c r="AM179" s="14"/>
    </row>
    <row r="180" spans="19:39" ht="13.8">
      <c r="S180" s="15"/>
      <c r="T180" s="15"/>
      <c r="U180" s="15"/>
      <c r="V180" s="15"/>
      <c r="W180" s="15"/>
      <c r="X180" s="15"/>
      <c r="Y180" s="15"/>
      <c r="Z180" s="15"/>
      <c r="AE180" s="14"/>
      <c r="AF180" s="14"/>
      <c r="AG180" s="14"/>
      <c r="AH180" s="14"/>
      <c r="AI180" s="14"/>
      <c r="AJ180" s="14"/>
      <c r="AK180" s="14"/>
      <c r="AL180" s="14"/>
      <c r="AM180" s="14"/>
    </row>
    <row r="181" spans="19:39" ht="13.8">
      <c r="S181" s="15"/>
      <c r="T181" s="15"/>
      <c r="U181" s="15"/>
      <c r="V181" s="15"/>
      <c r="W181" s="15"/>
      <c r="X181" s="15"/>
      <c r="Y181" s="15"/>
      <c r="Z181" s="15"/>
      <c r="AE181" s="14"/>
      <c r="AF181" s="14"/>
      <c r="AG181" s="14"/>
      <c r="AH181" s="14"/>
      <c r="AI181" s="14"/>
      <c r="AJ181" s="14"/>
      <c r="AK181" s="14"/>
      <c r="AL181" s="14"/>
      <c r="AM181" s="14"/>
    </row>
    <row r="182" spans="19:39" ht="13.8">
      <c r="S182" s="15"/>
      <c r="T182" s="15"/>
      <c r="U182" s="15"/>
      <c r="V182" s="15"/>
      <c r="W182" s="15"/>
      <c r="X182" s="15"/>
      <c r="Y182" s="15"/>
      <c r="Z182" s="15"/>
      <c r="AE182" s="14"/>
      <c r="AF182" s="14"/>
      <c r="AG182" s="14"/>
      <c r="AH182" s="14"/>
      <c r="AI182" s="14"/>
      <c r="AJ182" s="14"/>
      <c r="AK182" s="14"/>
      <c r="AL182" s="14"/>
      <c r="AM182" s="14"/>
    </row>
    <row r="183" spans="19:39" ht="13.8">
      <c r="S183" s="15"/>
      <c r="T183" s="15"/>
      <c r="U183" s="15"/>
      <c r="V183" s="15"/>
      <c r="W183" s="15"/>
      <c r="X183" s="15"/>
      <c r="Y183" s="15"/>
      <c r="Z183" s="15"/>
      <c r="AE183" s="14"/>
      <c r="AF183" s="14"/>
      <c r="AG183" s="14"/>
      <c r="AH183" s="14"/>
      <c r="AI183" s="14"/>
      <c r="AJ183" s="14"/>
      <c r="AK183" s="14"/>
      <c r="AL183" s="14"/>
      <c r="AM183" s="14"/>
    </row>
    <row r="184" spans="19:39" ht="13.8">
      <c r="S184" s="15"/>
      <c r="T184" s="15"/>
      <c r="U184" s="15"/>
      <c r="V184" s="15"/>
      <c r="W184" s="15"/>
      <c r="X184" s="15"/>
      <c r="Y184" s="15"/>
      <c r="Z184" s="15"/>
      <c r="AE184" s="14"/>
      <c r="AF184" s="14"/>
      <c r="AG184" s="14"/>
      <c r="AH184" s="14"/>
      <c r="AI184" s="14"/>
      <c r="AJ184" s="14"/>
      <c r="AK184" s="14"/>
      <c r="AL184" s="14"/>
      <c r="AM184" s="14"/>
    </row>
    <row r="185" spans="19:39" ht="13.8">
      <c r="S185" s="15"/>
      <c r="T185" s="15"/>
      <c r="U185" s="15"/>
      <c r="V185" s="15"/>
      <c r="W185" s="15"/>
      <c r="X185" s="15"/>
      <c r="Y185" s="15"/>
      <c r="Z185" s="15"/>
      <c r="AE185" s="14"/>
      <c r="AF185" s="14"/>
      <c r="AG185" s="14"/>
      <c r="AH185" s="14"/>
      <c r="AI185" s="14"/>
      <c r="AJ185" s="14"/>
      <c r="AK185" s="14"/>
      <c r="AL185" s="14"/>
      <c r="AM185" s="14"/>
    </row>
    <row r="186" spans="19:39" ht="13.8">
      <c r="S186" s="15"/>
      <c r="T186" s="15"/>
      <c r="U186" s="15"/>
      <c r="V186" s="15"/>
      <c r="W186" s="15"/>
      <c r="X186" s="15"/>
      <c r="Y186" s="15"/>
      <c r="Z186" s="15"/>
      <c r="AE186" s="14"/>
      <c r="AF186" s="14"/>
      <c r="AG186" s="14"/>
      <c r="AH186" s="14"/>
      <c r="AI186" s="14"/>
      <c r="AJ186" s="14"/>
      <c r="AK186" s="14"/>
      <c r="AL186" s="14"/>
      <c r="AM186" s="14"/>
    </row>
    <row r="187" spans="19:39" ht="13.8">
      <c r="S187" s="15"/>
      <c r="T187" s="15"/>
      <c r="U187" s="15"/>
      <c r="V187" s="15"/>
      <c r="W187" s="15"/>
      <c r="X187" s="15"/>
      <c r="Y187" s="15"/>
      <c r="Z187" s="15"/>
      <c r="AE187" s="14"/>
      <c r="AF187" s="14"/>
      <c r="AG187" s="14"/>
      <c r="AH187" s="14"/>
      <c r="AI187" s="14"/>
      <c r="AJ187" s="14"/>
      <c r="AK187" s="14"/>
      <c r="AL187" s="14"/>
      <c r="AM187" s="14"/>
    </row>
    <row r="188" spans="19:39" ht="13.8">
      <c r="S188" s="15"/>
      <c r="T188" s="15"/>
      <c r="U188" s="15"/>
      <c r="V188" s="15"/>
      <c r="W188" s="15"/>
      <c r="X188" s="15"/>
      <c r="Y188" s="15"/>
      <c r="Z188" s="15"/>
      <c r="AE188" s="14"/>
      <c r="AF188" s="14"/>
      <c r="AG188" s="14"/>
      <c r="AH188" s="14"/>
      <c r="AI188" s="14"/>
      <c r="AJ188" s="14"/>
      <c r="AK188" s="14"/>
      <c r="AL188" s="14"/>
      <c r="AM188" s="14"/>
    </row>
    <row r="189" spans="19:39" ht="13.8">
      <c r="S189" s="15"/>
      <c r="T189" s="15"/>
      <c r="U189" s="15"/>
      <c r="V189" s="15"/>
      <c r="W189" s="15"/>
      <c r="X189" s="15"/>
      <c r="Y189" s="15"/>
      <c r="Z189" s="15"/>
      <c r="AE189" s="14"/>
      <c r="AF189" s="14"/>
      <c r="AG189" s="14"/>
      <c r="AH189" s="14"/>
      <c r="AI189" s="14"/>
      <c r="AJ189" s="14"/>
      <c r="AK189" s="14"/>
      <c r="AL189" s="14"/>
      <c r="AM189" s="14"/>
    </row>
    <row r="190" spans="19:39" ht="13.8">
      <c r="S190" s="15"/>
      <c r="T190" s="15"/>
      <c r="U190" s="15"/>
      <c r="V190" s="15"/>
      <c r="W190" s="15"/>
      <c r="X190" s="15"/>
      <c r="Y190" s="15"/>
      <c r="Z190" s="15"/>
      <c r="AE190" s="14"/>
      <c r="AF190" s="14"/>
      <c r="AG190" s="14"/>
      <c r="AH190" s="14"/>
      <c r="AI190" s="14"/>
      <c r="AJ190" s="14"/>
      <c r="AK190" s="14"/>
      <c r="AL190" s="14"/>
      <c r="AM190" s="14"/>
    </row>
    <row r="191" spans="19:39" ht="13.8">
      <c r="S191" s="15"/>
      <c r="T191" s="15"/>
      <c r="U191" s="15"/>
      <c r="V191" s="15"/>
      <c r="W191" s="15"/>
      <c r="X191" s="15"/>
      <c r="Y191" s="15"/>
      <c r="Z191" s="15"/>
      <c r="AE191" s="14"/>
      <c r="AF191" s="14"/>
      <c r="AG191" s="14"/>
      <c r="AH191" s="14"/>
      <c r="AI191" s="14"/>
      <c r="AJ191" s="14"/>
      <c r="AK191" s="14"/>
      <c r="AL191" s="14"/>
      <c r="AM191" s="14"/>
    </row>
    <row r="192" spans="19:39" ht="13.8">
      <c r="S192" s="15"/>
      <c r="T192" s="15"/>
      <c r="U192" s="15"/>
      <c r="V192" s="15"/>
      <c r="W192" s="15"/>
      <c r="X192" s="15"/>
      <c r="Y192" s="15"/>
      <c r="Z192" s="15"/>
      <c r="AE192" s="14"/>
      <c r="AF192" s="14"/>
      <c r="AG192" s="14"/>
      <c r="AH192" s="14"/>
      <c r="AI192" s="14"/>
      <c r="AJ192" s="14"/>
      <c r="AK192" s="14"/>
      <c r="AL192" s="14"/>
      <c r="AM192" s="14"/>
    </row>
    <row r="193" spans="19:39" ht="13.8">
      <c r="S193" s="15"/>
      <c r="T193" s="15"/>
      <c r="U193" s="15"/>
      <c r="V193" s="15"/>
      <c r="W193" s="15"/>
      <c r="X193" s="15"/>
      <c r="Y193" s="15"/>
      <c r="Z193" s="15"/>
      <c r="AE193" s="14"/>
      <c r="AF193" s="14"/>
      <c r="AG193" s="14"/>
      <c r="AH193" s="14"/>
      <c r="AI193" s="14"/>
      <c r="AJ193" s="14"/>
      <c r="AK193" s="14"/>
      <c r="AL193" s="14"/>
      <c r="AM193" s="14"/>
    </row>
    <row r="194" spans="19:39" ht="13.8">
      <c r="S194" s="15"/>
      <c r="T194" s="15"/>
      <c r="U194" s="15"/>
      <c r="V194" s="15"/>
      <c r="W194" s="15"/>
      <c r="X194" s="15"/>
      <c r="Y194" s="15"/>
      <c r="Z194" s="15"/>
      <c r="AE194" s="14"/>
      <c r="AF194" s="14"/>
      <c r="AG194" s="14"/>
      <c r="AH194" s="14"/>
      <c r="AI194" s="14"/>
      <c r="AJ194" s="14"/>
      <c r="AK194" s="14"/>
      <c r="AL194" s="14"/>
      <c r="AM194" s="14"/>
    </row>
    <row r="195" spans="19:39" ht="13.8">
      <c r="S195" s="15"/>
      <c r="T195" s="15"/>
      <c r="U195" s="15"/>
      <c r="V195" s="15"/>
      <c r="W195" s="15"/>
      <c r="X195" s="15"/>
      <c r="Y195" s="15"/>
      <c r="Z195" s="15"/>
      <c r="AE195" s="14"/>
      <c r="AF195" s="14"/>
      <c r="AG195" s="14"/>
      <c r="AH195" s="14"/>
      <c r="AI195" s="14"/>
      <c r="AJ195" s="14"/>
      <c r="AK195" s="14"/>
      <c r="AL195" s="14"/>
      <c r="AM195" s="14"/>
    </row>
    <row r="196" spans="19:39" ht="13.8">
      <c r="S196" s="15"/>
      <c r="T196" s="15"/>
      <c r="U196" s="15"/>
      <c r="V196" s="15"/>
      <c r="W196" s="15"/>
      <c r="X196" s="15"/>
      <c r="Y196" s="15"/>
      <c r="Z196" s="15"/>
      <c r="AE196" s="14"/>
      <c r="AF196" s="14"/>
      <c r="AG196" s="14"/>
      <c r="AH196" s="14"/>
      <c r="AI196" s="14"/>
      <c r="AJ196" s="14"/>
      <c r="AK196" s="14"/>
      <c r="AL196" s="14"/>
      <c r="AM196" s="14"/>
    </row>
    <row r="197" spans="19:39" ht="14.4" thickBot="1">
      <c r="S197" s="15"/>
      <c r="T197" s="15"/>
      <c r="U197" s="15"/>
      <c r="V197" s="15"/>
      <c r="W197" s="15"/>
      <c r="X197" s="15"/>
      <c r="Y197" s="15"/>
      <c r="Z197" s="15"/>
      <c r="AE197" s="14"/>
      <c r="AF197" s="14"/>
      <c r="AG197" s="14"/>
      <c r="AH197" s="14"/>
      <c r="AI197" s="14"/>
      <c r="AJ197" s="14"/>
      <c r="AK197" s="14"/>
      <c r="AL197" s="14"/>
      <c r="AM197" s="14"/>
    </row>
  </sheetData>
  <mergeCells count="30">
    <mergeCell ref="K1:K2"/>
    <mergeCell ref="L1:L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AB1:AB2"/>
    <mergeCell ref="M1:M2"/>
    <mergeCell ref="N1:N2"/>
    <mergeCell ref="O1:O2"/>
    <mergeCell ref="S1:T1"/>
    <mergeCell ref="U1:V1"/>
    <mergeCell ref="W1:W2"/>
    <mergeCell ref="X1:X2"/>
    <mergeCell ref="Y1:Y2"/>
    <mergeCell ref="Z1:Z2"/>
    <mergeCell ref="AA1:AA2"/>
    <mergeCell ref="P1:R1"/>
    <mergeCell ref="A26:A27"/>
    <mergeCell ref="AB26:AB27"/>
    <mergeCell ref="A30:A31"/>
    <mergeCell ref="AB30:AB31"/>
    <mergeCell ref="A35:A36"/>
    <mergeCell ref="AB35:AB36"/>
  </mergeCells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پایه سنوات طرح طبقه</vt:lpstr>
      <vt:lpstr>پایه سنوات عادی و داده ها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Bazresi</dc:creator>
  <cp:lastModifiedBy>Venus</cp:lastModifiedBy>
  <cp:lastPrinted>2023-03-27T15:55:48Z</cp:lastPrinted>
  <dcterms:created xsi:type="dcterms:W3CDTF">2012-01-15T05:26:39Z</dcterms:created>
  <dcterms:modified xsi:type="dcterms:W3CDTF">2026-08-28T20:23:19Z</dcterms:modified>
</cp:coreProperties>
</file>